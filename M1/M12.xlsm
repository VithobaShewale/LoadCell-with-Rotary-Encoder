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1\Desktop\m\"/>
    </mc:Choice>
  </mc:AlternateContent>
  <xr:revisionPtr revIDLastSave="0" documentId="8_{EC0E1797-E396-48C9-A8A2-00779642CBB3}" xr6:coauthVersionLast="40" xr6:coauthVersionMax="40" xr10:uidLastSave="{00000000-0000-0000-0000-000000000000}"/>
  <bookViews>
    <workbookView xWindow="-120" yWindow="-120" windowWidth="21840" windowHeight="13140" activeTab="1" xr2:uid="{00000000-000D-0000-FFFF-FFFF00000000}"/>
  </bookViews>
  <sheets>
    <sheet name="Data" sheetId="1" r:id="rId1"/>
    <sheet name="Sheet2" sheetId="6" r:id="rId2"/>
    <sheet name="EXP1" sheetId="5" r:id="rId3"/>
  </sheets>
  <calcPr calcId="181029"/>
</workbook>
</file>

<file path=xl/calcChain.xml><?xml version="1.0" encoding="utf-8"?>
<calcChain xmlns="http://schemas.openxmlformats.org/spreadsheetml/2006/main">
  <c r="A69" i="5" l="1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A25" i="5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C42" i="5"/>
  <c r="C71" i="5"/>
  <c r="C72" i="5"/>
  <c r="C73" i="5"/>
  <c r="C74" i="5"/>
  <c r="C75" i="5"/>
  <c r="C76" i="5"/>
  <c r="C77" i="5"/>
  <c r="C78" i="5"/>
  <c r="C4" i="5" l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3" i="5"/>
  <c r="C10" i="6" l="1"/>
  <c r="N12" i="6" l="1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C8" i="6"/>
  <c r="E8" i="6" s="1"/>
  <c r="C2" i="5"/>
</calcChain>
</file>

<file path=xl/sharedStrings.xml><?xml version="1.0" encoding="utf-8"?>
<sst xmlns="http://schemas.openxmlformats.org/spreadsheetml/2006/main" count="73" uniqueCount="53">
  <si>
    <t>Time</t>
  </si>
  <si>
    <t>Val</t>
  </si>
  <si>
    <t>Sample ID- H8.1</t>
  </si>
  <si>
    <t>Symbols</t>
  </si>
  <si>
    <t>Value</t>
  </si>
  <si>
    <t>Units</t>
  </si>
  <si>
    <t>No. of Coil</t>
  </si>
  <si>
    <t>n</t>
  </si>
  <si>
    <t>Internal Diameter</t>
  </si>
  <si>
    <t>ID</t>
  </si>
  <si>
    <t>mm</t>
  </si>
  <si>
    <t>Outer Diameter</t>
  </si>
  <si>
    <t>OD</t>
  </si>
  <si>
    <t>Width</t>
  </si>
  <si>
    <t>w</t>
  </si>
  <si>
    <t>Thickness</t>
  </si>
  <si>
    <t>t</t>
  </si>
  <si>
    <t>Height</t>
  </si>
  <si>
    <t>H</t>
  </si>
  <si>
    <t>Actual possible displacement</t>
  </si>
  <si>
    <t>H-t</t>
  </si>
  <si>
    <t>Height after deformation</t>
  </si>
  <si>
    <t>Loss of Height</t>
  </si>
  <si>
    <t>Percentage of loss of height</t>
  </si>
  <si>
    <t>%</t>
  </si>
  <si>
    <t>Weight of sample in gm before deformation</t>
  </si>
  <si>
    <r>
      <t>W</t>
    </r>
    <r>
      <rPr>
        <vertAlign val="subscript"/>
        <sz val="12"/>
        <color rgb="FF000000"/>
        <rFont val="Times New Roman"/>
        <family val="1"/>
      </rPr>
      <t>1</t>
    </r>
  </si>
  <si>
    <t xml:space="preserve">kg </t>
  </si>
  <si>
    <t>Weight of sample in gm after deformation</t>
  </si>
  <si>
    <r>
      <t>W</t>
    </r>
    <r>
      <rPr>
        <vertAlign val="subscript"/>
        <sz val="12"/>
        <color rgb="FF000000"/>
        <rFont val="Times New Roman"/>
        <family val="1"/>
      </rPr>
      <t>2</t>
    </r>
  </si>
  <si>
    <t>Cross sectional area</t>
  </si>
  <si>
    <t>sq.mm.</t>
  </si>
  <si>
    <t>Maximum deflection within elastic deformation</t>
  </si>
  <si>
    <t>Load Applied</t>
  </si>
  <si>
    <t>Maximum load within elastic deformation</t>
  </si>
  <si>
    <t>N</t>
  </si>
  <si>
    <t>Load Released</t>
  </si>
  <si>
    <t>Projected area after complete deformation</t>
  </si>
  <si>
    <t>Strain energy due to load applied</t>
  </si>
  <si>
    <t>Strain energy during load applied</t>
  </si>
  <si>
    <t>N.mm</t>
  </si>
  <si>
    <t>Strain energy during load load released</t>
  </si>
  <si>
    <t>Loss of strain energy</t>
  </si>
  <si>
    <t>Percentage of loss fo strain energy</t>
  </si>
  <si>
    <t>Modulus of resilence for load applied</t>
  </si>
  <si>
    <t>Modulus of resilence for load released</t>
  </si>
  <si>
    <t>Loss of modulus of resilence</t>
  </si>
  <si>
    <t>Percentage of loss of modulus of resilence</t>
  </si>
  <si>
    <t>Deflection in mm</t>
  </si>
  <si>
    <t>Load in kg</t>
  </si>
  <si>
    <t>Load in N</t>
  </si>
  <si>
    <t>Reading Difference</t>
  </si>
  <si>
    <t>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</si>
</sst>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2"/>
      <name val="Times New Roman"/>
      <family val="1"/>
    </font>
    <font>
      <sz val="12"/>
      <color rgb="FF000000"/>
      <name val="Times New Roman"/>
      <family val="1"/>
    </font>
    <font>
      <sz val="12"/>
      <color theme="1"/>
      <name val="Times New Roman"/>
      <family val="1"/>
    </font>
    <font>
      <sz val="12"/>
      <color rgb="FFFF0000"/>
      <name val="Times New Roman"/>
      <family val="1"/>
    </font>
    <font>
      <vertAlign val="subscript"/>
      <sz val="12"/>
      <color rgb="FF000000"/>
      <name val="Times New Roman"/>
      <family val="1"/>
    </font>
    <font>
      <b/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rgb="FF00B0F0"/>
      <name val="Calibri"/>
      <family val="2"/>
      <scheme val="minor"/>
    </font>
    <font>
      <sz val="12"/>
      <color rgb="FF00B0F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4" fillId="0" borderId="1" xfId="0" applyFont="1" applyBorder="1" applyAlignment="1">
      <alignment wrapText="1"/>
    </xf>
    <xf numFmtId="0" fontId="5" fillId="0" borderId="5" xfId="0" applyFont="1" applyBorder="1" applyAlignment="1">
      <alignment horizontal="center" wrapText="1"/>
    </xf>
    <xf numFmtId="0" fontId="4" fillId="2" borderId="6" xfId="0" applyFont="1" applyFill="1" applyBorder="1" applyAlignment="1">
      <alignment horizontal="center" wrapText="1"/>
    </xf>
    <xf numFmtId="0" fontId="4" fillId="2" borderId="7" xfId="0" applyFont="1" applyFill="1" applyBorder="1" applyAlignment="1">
      <alignment horizontal="center" wrapText="1"/>
    </xf>
    <xf numFmtId="0" fontId="4" fillId="0" borderId="8" xfId="0" applyFont="1" applyBorder="1" applyAlignment="1">
      <alignment wrapText="1"/>
    </xf>
    <xf numFmtId="0" fontId="5" fillId="0" borderId="7" xfId="0" applyFont="1" applyBorder="1" applyAlignment="1">
      <alignment horizontal="center" wrapText="1"/>
    </xf>
    <xf numFmtId="0" fontId="4" fillId="2" borderId="9" xfId="0" applyFont="1" applyFill="1" applyBorder="1" applyAlignment="1">
      <alignment horizontal="center" wrapText="1"/>
    </xf>
    <xf numFmtId="0" fontId="4" fillId="0" borderId="3" xfId="0" applyFont="1" applyBorder="1" applyAlignment="1">
      <alignment wrapText="1"/>
    </xf>
    <xf numFmtId="0" fontId="5" fillId="0" borderId="10" xfId="0" applyFont="1" applyBorder="1" applyAlignment="1">
      <alignment horizontal="center" wrapText="1"/>
    </xf>
    <xf numFmtId="0" fontId="4" fillId="2" borderId="11" xfId="0" applyFont="1" applyFill="1" applyBorder="1" applyAlignment="1">
      <alignment horizontal="center" wrapText="1"/>
    </xf>
    <xf numFmtId="0" fontId="4" fillId="0" borderId="1" xfId="0" applyFont="1" applyBorder="1" applyAlignment="1">
      <alignment horizontal="left" wrapText="1"/>
    </xf>
    <xf numFmtId="0" fontId="4" fillId="0" borderId="8" xfId="0" applyFont="1" applyBorder="1" applyAlignment="1">
      <alignment horizontal="left" wrapText="1"/>
    </xf>
    <xf numFmtId="0" fontId="6" fillId="0" borderId="7" xfId="0" applyFont="1" applyBorder="1" applyAlignment="1">
      <alignment horizontal="center"/>
    </xf>
    <xf numFmtId="0" fontId="4" fillId="0" borderId="8" xfId="0" applyFont="1" applyBorder="1" applyAlignment="1">
      <alignment horizontal="left"/>
    </xf>
    <xf numFmtId="0" fontId="7" fillId="0" borderId="8" xfId="0" applyFont="1" applyBorder="1" applyAlignment="1">
      <alignment horizontal="left" vertical="center"/>
    </xf>
    <xf numFmtId="0" fontId="7" fillId="0" borderId="7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 wrapText="1"/>
    </xf>
    <xf numFmtId="0" fontId="7" fillId="2" borderId="7" xfId="0" applyFont="1" applyFill="1" applyBorder="1" applyAlignment="1">
      <alignment horizontal="center" wrapText="1"/>
    </xf>
    <xf numFmtId="0" fontId="4" fillId="0" borderId="12" xfId="0" applyFont="1" applyBorder="1" applyAlignment="1">
      <alignment horizontal="left" wrapText="1"/>
    </xf>
    <xf numFmtId="0" fontId="5" fillId="0" borderId="13" xfId="0" applyFont="1" applyBorder="1" applyAlignment="1">
      <alignment horizontal="center" wrapText="1"/>
    </xf>
    <xf numFmtId="0" fontId="4" fillId="2" borderId="14" xfId="0" applyFont="1" applyFill="1" applyBorder="1" applyAlignment="1">
      <alignment horizontal="center" wrapText="1"/>
    </xf>
    <xf numFmtId="0" fontId="4" fillId="2" borderId="13" xfId="0" applyFont="1" applyFill="1" applyBorder="1" applyAlignment="1">
      <alignment horizontal="center" wrapText="1"/>
    </xf>
    <xf numFmtId="0" fontId="6" fillId="0" borderId="5" xfId="0" applyFont="1" applyBorder="1" applyAlignment="1">
      <alignment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wrapText="1"/>
    </xf>
    <xf numFmtId="0" fontId="6" fillId="0" borderId="7" xfId="0" applyFont="1" applyBorder="1" applyAlignment="1">
      <alignment horizontal="center" wrapText="1"/>
    </xf>
    <xf numFmtId="0" fontId="7" fillId="0" borderId="8" xfId="0" applyFont="1" applyBorder="1" applyAlignment="1">
      <alignment wrapText="1"/>
    </xf>
    <xf numFmtId="0" fontId="7" fillId="0" borderId="7" xfId="0" applyFont="1" applyBorder="1" applyAlignment="1">
      <alignment horizontal="center" wrapText="1"/>
    </xf>
    <xf numFmtId="0" fontId="7" fillId="2" borderId="15" xfId="0" applyFont="1" applyFill="1" applyBorder="1" applyAlignment="1">
      <alignment horizontal="center" wrapText="1"/>
    </xf>
    <xf numFmtId="0" fontId="7" fillId="0" borderId="3" xfId="0" applyFont="1" applyBorder="1" applyAlignment="1">
      <alignment wrapText="1"/>
    </xf>
    <xf numFmtId="0" fontId="7" fillId="0" borderId="10" xfId="0" applyFont="1" applyBorder="1" applyAlignment="1">
      <alignment horizontal="center" wrapText="1"/>
    </xf>
    <xf numFmtId="0" fontId="7" fillId="2" borderId="10" xfId="0" applyFont="1" applyFill="1" applyBorder="1" applyAlignment="1">
      <alignment horizontal="center" wrapText="1"/>
    </xf>
    <xf numFmtId="0" fontId="7" fillId="2" borderId="4" xfId="0" applyFont="1" applyFill="1" applyBorder="1" applyAlignment="1">
      <alignment horizontal="center" wrapText="1"/>
    </xf>
    <xf numFmtId="0" fontId="4" fillId="0" borderId="0" xfId="0" applyFont="1"/>
    <xf numFmtId="0" fontId="9" fillId="0" borderId="7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/>
    </xf>
    <xf numFmtId="0" fontId="9" fillId="0" borderId="7" xfId="0" applyFont="1" applyBorder="1" applyAlignment="1">
      <alignment horizontal="center"/>
    </xf>
    <xf numFmtId="0" fontId="10" fillId="0" borderId="7" xfId="0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7" xfId="0" applyBorder="1" applyAlignment="1">
      <alignment horizontal="center"/>
    </xf>
    <xf numFmtId="0" fontId="3" fillId="0" borderId="7" xfId="0" applyFont="1" applyBorder="1" applyAlignment="1">
      <alignment horizontal="center" wrapText="1"/>
    </xf>
    <xf numFmtId="0" fontId="11" fillId="0" borderId="7" xfId="0" applyFont="1" applyBorder="1" applyAlignment="1">
      <alignment horizontal="center" wrapText="1"/>
    </xf>
    <xf numFmtId="0" fontId="11" fillId="0" borderId="7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4" fillId="0" borderId="16" xfId="0" applyFont="1" applyBorder="1"/>
    <xf numFmtId="2" fontId="0" fillId="0" borderId="7" xfId="0" applyNumberFormat="1" applyBorder="1" applyAlignment="1">
      <alignment horizontal="center"/>
    </xf>
    <xf numFmtId="2" fontId="0" fillId="0" borderId="7" xfId="0" applyNumberFormat="1" applyBorder="1" applyAlignment="1">
      <alignment horizontal="center" wrapText="1"/>
    </xf>
    <xf numFmtId="0" fontId="6" fillId="0" borderId="7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'EXP1'!$B$1</c:f>
              <c:strCache>
                <c:ptCount val="1"/>
                <c:pt idx="0">
                  <c:v>Deflection in mm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'EXP1'!$A$2:$A$172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66</c:v>
                </c:pt>
                <c:pt idx="69">
                  <c:v>65</c:v>
                </c:pt>
                <c:pt idx="70">
                  <c:v>64</c:v>
                </c:pt>
                <c:pt idx="71">
                  <c:v>63</c:v>
                </c:pt>
                <c:pt idx="72">
                  <c:v>62</c:v>
                </c:pt>
                <c:pt idx="73">
                  <c:v>61</c:v>
                </c:pt>
                <c:pt idx="74">
                  <c:v>60</c:v>
                </c:pt>
                <c:pt idx="75">
                  <c:v>59</c:v>
                </c:pt>
                <c:pt idx="76">
                  <c:v>58</c:v>
                </c:pt>
                <c:pt idx="77">
                  <c:v>57</c:v>
                </c:pt>
                <c:pt idx="78">
                  <c:v>56</c:v>
                </c:pt>
                <c:pt idx="79">
                  <c:v>55</c:v>
                </c:pt>
                <c:pt idx="80">
                  <c:v>54</c:v>
                </c:pt>
                <c:pt idx="81">
                  <c:v>53</c:v>
                </c:pt>
                <c:pt idx="82">
                  <c:v>52</c:v>
                </c:pt>
                <c:pt idx="83">
                  <c:v>51</c:v>
                </c:pt>
                <c:pt idx="84">
                  <c:v>50</c:v>
                </c:pt>
                <c:pt idx="85">
                  <c:v>49</c:v>
                </c:pt>
                <c:pt idx="86">
                  <c:v>48</c:v>
                </c:pt>
                <c:pt idx="87">
                  <c:v>47</c:v>
                </c:pt>
                <c:pt idx="88">
                  <c:v>46</c:v>
                </c:pt>
                <c:pt idx="89">
                  <c:v>45</c:v>
                </c:pt>
                <c:pt idx="90">
                  <c:v>44</c:v>
                </c:pt>
                <c:pt idx="91">
                  <c:v>43</c:v>
                </c:pt>
                <c:pt idx="92">
                  <c:v>42</c:v>
                </c:pt>
                <c:pt idx="93">
                  <c:v>41</c:v>
                </c:pt>
                <c:pt idx="94">
                  <c:v>40</c:v>
                </c:pt>
                <c:pt idx="95">
                  <c:v>39</c:v>
                </c:pt>
                <c:pt idx="96">
                  <c:v>38</c:v>
                </c:pt>
                <c:pt idx="97">
                  <c:v>37</c:v>
                </c:pt>
                <c:pt idx="98">
                  <c:v>36</c:v>
                </c:pt>
                <c:pt idx="99">
                  <c:v>35</c:v>
                </c:pt>
                <c:pt idx="100">
                  <c:v>34</c:v>
                </c:pt>
                <c:pt idx="101">
                  <c:v>33</c:v>
                </c:pt>
                <c:pt idx="102">
                  <c:v>32</c:v>
                </c:pt>
                <c:pt idx="103">
                  <c:v>31</c:v>
                </c:pt>
                <c:pt idx="104">
                  <c:v>30</c:v>
                </c:pt>
                <c:pt idx="105">
                  <c:v>29</c:v>
                </c:pt>
                <c:pt idx="106">
                  <c:v>28</c:v>
                </c:pt>
                <c:pt idx="107">
                  <c:v>27</c:v>
                </c:pt>
                <c:pt idx="108">
                  <c:v>26</c:v>
                </c:pt>
                <c:pt idx="109">
                  <c:v>25</c:v>
                </c:pt>
                <c:pt idx="110">
                  <c:v>24</c:v>
                </c:pt>
                <c:pt idx="111">
                  <c:v>23</c:v>
                </c:pt>
                <c:pt idx="112">
                  <c:v>22</c:v>
                </c:pt>
                <c:pt idx="113">
                  <c:v>21</c:v>
                </c:pt>
                <c:pt idx="114">
                  <c:v>20</c:v>
                </c:pt>
                <c:pt idx="115">
                  <c:v>19</c:v>
                </c:pt>
                <c:pt idx="116">
                  <c:v>18</c:v>
                </c:pt>
                <c:pt idx="117">
                  <c:v>17</c:v>
                </c:pt>
                <c:pt idx="118">
                  <c:v>16</c:v>
                </c:pt>
                <c:pt idx="119">
                  <c:v>15</c:v>
                </c:pt>
                <c:pt idx="120">
                  <c:v>14</c:v>
                </c:pt>
                <c:pt idx="121">
                  <c:v>13</c:v>
                </c:pt>
                <c:pt idx="122">
                  <c:v>12</c:v>
                </c:pt>
                <c:pt idx="123">
                  <c:v>11</c:v>
                </c:pt>
                <c:pt idx="124">
                  <c:v>10</c:v>
                </c:pt>
                <c:pt idx="125">
                  <c:v>9</c:v>
                </c:pt>
                <c:pt idx="126">
                  <c:v>8</c:v>
                </c:pt>
                <c:pt idx="127">
                  <c:v>7</c:v>
                </c:pt>
                <c:pt idx="128">
                  <c:v>6</c:v>
                </c:pt>
                <c:pt idx="129">
                  <c:v>5</c:v>
                </c:pt>
                <c:pt idx="130">
                  <c:v>4</c:v>
                </c:pt>
                <c:pt idx="131">
                  <c:v>3</c:v>
                </c:pt>
                <c:pt idx="132">
                  <c:v>2</c:v>
                </c:pt>
                <c:pt idx="133">
                  <c:v>1</c:v>
                </c:pt>
              </c:numCache>
            </c:numRef>
          </c:xVal>
          <c:yVal>
            <c:numRef>
              <c:f>'EXP1'!$B$2:$B$172</c:f>
              <c:numCache>
                <c:formatCode>0.00</c:formatCode>
                <c:ptCount val="1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BF-46BC-8B45-404FB48B32CE}"/>
            </c:ext>
          </c:extLst>
        </c:ser>
        <c:ser>
          <c:idx val="1"/>
          <c:order val="1"/>
          <c:tx>
            <c:strRef>
              <c:f>'EXP1'!$C$1</c:f>
              <c:strCache>
                <c:ptCount val="1"/>
                <c:pt idx="0">
                  <c:v>Load in kg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'EXP1'!$A$2:$A$172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66</c:v>
                </c:pt>
                <c:pt idx="69">
                  <c:v>65</c:v>
                </c:pt>
                <c:pt idx="70">
                  <c:v>64</c:v>
                </c:pt>
                <c:pt idx="71">
                  <c:v>63</c:v>
                </c:pt>
                <c:pt idx="72">
                  <c:v>62</c:v>
                </c:pt>
                <c:pt idx="73">
                  <c:v>61</c:v>
                </c:pt>
                <c:pt idx="74">
                  <c:v>60</c:v>
                </c:pt>
                <c:pt idx="75">
                  <c:v>59</c:v>
                </c:pt>
                <c:pt idx="76">
                  <c:v>58</c:v>
                </c:pt>
                <c:pt idx="77">
                  <c:v>57</c:v>
                </c:pt>
                <c:pt idx="78">
                  <c:v>56</c:v>
                </c:pt>
                <c:pt idx="79">
                  <c:v>55</c:v>
                </c:pt>
                <c:pt idx="80">
                  <c:v>54</c:v>
                </c:pt>
                <c:pt idx="81">
                  <c:v>53</c:v>
                </c:pt>
                <c:pt idx="82">
                  <c:v>52</c:v>
                </c:pt>
                <c:pt idx="83">
                  <c:v>51</c:v>
                </c:pt>
                <c:pt idx="84">
                  <c:v>50</c:v>
                </c:pt>
                <c:pt idx="85">
                  <c:v>49</c:v>
                </c:pt>
                <c:pt idx="86">
                  <c:v>48</c:v>
                </c:pt>
                <c:pt idx="87">
                  <c:v>47</c:v>
                </c:pt>
                <c:pt idx="88">
                  <c:v>46</c:v>
                </c:pt>
                <c:pt idx="89">
                  <c:v>45</c:v>
                </c:pt>
                <c:pt idx="90">
                  <c:v>44</c:v>
                </c:pt>
                <c:pt idx="91">
                  <c:v>43</c:v>
                </c:pt>
                <c:pt idx="92">
                  <c:v>42</c:v>
                </c:pt>
                <c:pt idx="93">
                  <c:v>41</c:v>
                </c:pt>
                <c:pt idx="94">
                  <c:v>40</c:v>
                </c:pt>
                <c:pt idx="95">
                  <c:v>39</c:v>
                </c:pt>
                <c:pt idx="96">
                  <c:v>38</c:v>
                </c:pt>
                <c:pt idx="97">
                  <c:v>37</c:v>
                </c:pt>
                <c:pt idx="98">
                  <c:v>36</c:v>
                </c:pt>
                <c:pt idx="99">
                  <c:v>35</c:v>
                </c:pt>
                <c:pt idx="100">
                  <c:v>34</c:v>
                </c:pt>
                <c:pt idx="101">
                  <c:v>33</c:v>
                </c:pt>
                <c:pt idx="102">
                  <c:v>32</c:v>
                </c:pt>
                <c:pt idx="103">
                  <c:v>31</c:v>
                </c:pt>
                <c:pt idx="104">
                  <c:v>30</c:v>
                </c:pt>
                <c:pt idx="105">
                  <c:v>29</c:v>
                </c:pt>
                <c:pt idx="106">
                  <c:v>28</c:v>
                </c:pt>
                <c:pt idx="107">
                  <c:v>27</c:v>
                </c:pt>
                <c:pt idx="108">
                  <c:v>26</c:v>
                </c:pt>
                <c:pt idx="109">
                  <c:v>25</c:v>
                </c:pt>
                <c:pt idx="110">
                  <c:v>24</c:v>
                </c:pt>
                <c:pt idx="111">
                  <c:v>23</c:v>
                </c:pt>
                <c:pt idx="112">
                  <c:v>22</c:v>
                </c:pt>
                <c:pt idx="113">
                  <c:v>21</c:v>
                </c:pt>
                <c:pt idx="114">
                  <c:v>20</c:v>
                </c:pt>
                <c:pt idx="115">
                  <c:v>19</c:v>
                </c:pt>
                <c:pt idx="116">
                  <c:v>18</c:v>
                </c:pt>
                <c:pt idx="117">
                  <c:v>17</c:v>
                </c:pt>
                <c:pt idx="118">
                  <c:v>16</c:v>
                </c:pt>
                <c:pt idx="119">
                  <c:v>15</c:v>
                </c:pt>
                <c:pt idx="120">
                  <c:v>14</c:v>
                </c:pt>
                <c:pt idx="121">
                  <c:v>13</c:v>
                </c:pt>
                <c:pt idx="122">
                  <c:v>12</c:v>
                </c:pt>
                <c:pt idx="123">
                  <c:v>11</c:v>
                </c:pt>
                <c:pt idx="124">
                  <c:v>10</c:v>
                </c:pt>
                <c:pt idx="125">
                  <c:v>9</c:v>
                </c:pt>
                <c:pt idx="126">
                  <c:v>8</c:v>
                </c:pt>
                <c:pt idx="127">
                  <c:v>7</c:v>
                </c:pt>
                <c:pt idx="128">
                  <c:v>6</c:v>
                </c:pt>
                <c:pt idx="129">
                  <c:v>5</c:v>
                </c:pt>
                <c:pt idx="130">
                  <c:v>4</c:v>
                </c:pt>
                <c:pt idx="131">
                  <c:v>3</c:v>
                </c:pt>
                <c:pt idx="132">
                  <c:v>2</c:v>
                </c:pt>
                <c:pt idx="133">
                  <c:v>1</c:v>
                </c:pt>
              </c:numCache>
            </c:numRef>
          </c:xVal>
          <c:yVal>
            <c:numRef>
              <c:f>'EXP1'!$C$2:$C$172</c:f>
              <c:numCache>
                <c:formatCode>0.00</c:formatCode>
                <c:ptCount val="171"/>
                <c:pt idx="0">
                  <c:v>0</c:v>
                </c:pt>
                <c:pt idx="1">
                  <c:v>0.4</c:v>
                </c:pt>
                <c:pt idx="2">
                  <c:v>0.6</c:v>
                </c:pt>
                <c:pt idx="3">
                  <c:v>0.70000000000000007</c:v>
                </c:pt>
                <c:pt idx="4">
                  <c:v>1.1000000000000001</c:v>
                </c:pt>
                <c:pt idx="5">
                  <c:v>1.5</c:v>
                </c:pt>
                <c:pt idx="6">
                  <c:v>1.9</c:v>
                </c:pt>
                <c:pt idx="7">
                  <c:v>2.3000000000000003</c:v>
                </c:pt>
                <c:pt idx="8">
                  <c:v>2.6</c:v>
                </c:pt>
                <c:pt idx="9">
                  <c:v>3.1</c:v>
                </c:pt>
                <c:pt idx="10">
                  <c:v>3.3000000000000003</c:v>
                </c:pt>
                <c:pt idx="11">
                  <c:v>3.5</c:v>
                </c:pt>
                <c:pt idx="12">
                  <c:v>3.9000000000000004</c:v>
                </c:pt>
                <c:pt idx="13">
                  <c:v>4.6999999999999993</c:v>
                </c:pt>
                <c:pt idx="14">
                  <c:v>5.4</c:v>
                </c:pt>
                <c:pt idx="15">
                  <c:v>6.8999999999999995</c:v>
                </c:pt>
                <c:pt idx="16">
                  <c:v>7.5</c:v>
                </c:pt>
                <c:pt idx="17">
                  <c:v>8.1999999999999993</c:v>
                </c:pt>
                <c:pt idx="18">
                  <c:v>8.9</c:v>
                </c:pt>
                <c:pt idx="19">
                  <c:v>9.3999999999999986</c:v>
                </c:pt>
                <c:pt idx="20">
                  <c:v>10.1</c:v>
                </c:pt>
                <c:pt idx="21">
                  <c:v>10.600000000000001</c:v>
                </c:pt>
                <c:pt idx="22">
                  <c:v>11.399999999999999</c:v>
                </c:pt>
                <c:pt idx="23">
                  <c:v>12</c:v>
                </c:pt>
                <c:pt idx="24">
                  <c:v>12.8</c:v>
                </c:pt>
                <c:pt idx="25">
                  <c:v>13.3</c:v>
                </c:pt>
                <c:pt idx="26">
                  <c:v>13.3</c:v>
                </c:pt>
                <c:pt idx="27">
                  <c:v>13.799999999999999</c:v>
                </c:pt>
                <c:pt idx="28">
                  <c:v>14.1</c:v>
                </c:pt>
                <c:pt idx="29">
                  <c:v>14.7</c:v>
                </c:pt>
                <c:pt idx="30">
                  <c:v>15.3</c:v>
                </c:pt>
                <c:pt idx="31">
                  <c:v>16.399999999999999</c:v>
                </c:pt>
                <c:pt idx="32">
                  <c:v>17.2</c:v>
                </c:pt>
                <c:pt idx="33">
                  <c:v>18.400000000000002</c:v>
                </c:pt>
                <c:pt idx="34">
                  <c:v>19.3</c:v>
                </c:pt>
                <c:pt idx="35">
                  <c:v>20.299999999999997</c:v>
                </c:pt>
                <c:pt idx="36">
                  <c:v>21.200000000000003</c:v>
                </c:pt>
                <c:pt idx="37">
                  <c:v>22.1</c:v>
                </c:pt>
                <c:pt idx="38">
                  <c:v>23.3</c:v>
                </c:pt>
                <c:pt idx="39">
                  <c:v>24</c:v>
                </c:pt>
                <c:pt idx="40">
                  <c:v>25.099999999999998</c:v>
                </c:pt>
                <c:pt idx="41">
                  <c:v>26</c:v>
                </c:pt>
                <c:pt idx="42">
                  <c:v>26.8</c:v>
                </c:pt>
                <c:pt idx="43">
                  <c:v>27.3</c:v>
                </c:pt>
                <c:pt idx="44">
                  <c:v>27.9</c:v>
                </c:pt>
                <c:pt idx="45">
                  <c:v>28.4</c:v>
                </c:pt>
                <c:pt idx="46">
                  <c:v>29</c:v>
                </c:pt>
                <c:pt idx="47">
                  <c:v>29.900000000000002</c:v>
                </c:pt>
                <c:pt idx="48">
                  <c:v>30.9</c:v>
                </c:pt>
                <c:pt idx="49">
                  <c:v>30.9</c:v>
                </c:pt>
                <c:pt idx="50">
                  <c:v>31.5</c:v>
                </c:pt>
                <c:pt idx="51">
                  <c:v>32</c:v>
                </c:pt>
                <c:pt idx="52">
                  <c:v>32.9</c:v>
                </c:pt>
                <c:pt idx="53">
                  <c:v>33.799999999999997</c:v>
                </c:pt>
                <c:pt idx="54">
                  <c:v>34.799999999999997</c:v>
                </c:pt>
                <c:pt idx="55">
                  <c:v>37.400000000000006</c:v>
                </c:pt>
                <c:pt idx="56">
                  <c:v>38.799999999999997</c:v>
                </c:pt>
                <c:pt idx="57">
                  <c:v>47.699999999999996</c:v>
                </c:pt>
                <c:pt idx="58">
                  <c:v>63.4</c:v>
                </c:pt>
                <c:pt idx="59">
                  <c:v>78.600000000000009</c:v>
                </c:pt>
                <c:pt idx="60">
                  <c:v>95.3</c:v>
                </c:pt>
                <c:pt idx="61">
                  <c:v>134</c:v>
                </c:pt>
                <c:pt idx="62">
                  <c:v>147.5</c:v>
                </c:pt>
                <c:pt idx="63">
                  <c:v>165.10000000000002</c:v>
                </c:pt>
                <c:pt idx="64">
                  <c:v>181.4</c:v>
                </c:pt>
                <c:pt idx="65">
                  <c:v>187.5</c:v>
                </c:pt>
                <c:pt idx="66">
                  <c:v>203.1</c:v>
                </c:pt>
                <c:pt idx="67">
                  <c:v>205.39999999999998</c:v>
                </c:pt>
                <c:pt idx="68">
                  <c:v>145.5</c:v>
                </c:pt>
                <c:pt idx="69">
                  <c:v>117.10000000000001</c:v>
                </c:pt>
                <c:pt idx="70">
                  <c:v>96.6</c:v>
                </c:pt>
                <c:pt idx="71">
                  <c:v>77.099999999999994</c:v>
                </c:pt>
                <c:pt idx="72">
                  <c:v>44.2</c:v>
                </c:pt>
                <c:pt idx="73">
                  <c:v>36.299999999999997</c:v>
                </c:pt>
                <c:pt idx="74">
                  <c:v>33.9</c:v>
                </c:pt>
                <c:pt idx="75">
                  <c:v>31.7</c:v>
                </c:pt>
                <c:pt idx="76">
                  <c:v>30.2</c:v>
                </c:pt>
                <c:pt idx="77">
                  <c:v>28.900000000000002</c:v>
                </c:pt>
                <c:pt idx="78">
                  <c:v>27.7</c:v>
                </c:pt>
                <c:pt idx="79">
                  <c:v>26.8</c:v>
                </c:pt>
                <c:pt idx="80">
                  <c:v>25.9</c:v>
                </c:pt>
                <c:pt idx="81">
                  <c:v>25.099999999999998</c:v>
                </c:pt>
                <c:pt idx="82">
                  <c:v>24.3</c:v>
                </c:pt>
                <c:pt idx="83">
                  <c:v>23.799999999999997</c:v>
                </c:pt>
                <c:pt idx="84">
                  <c:v>22.799999999999997</c:v>
                </c:pt>
                <c:pt idx="85">
                  <c:v>22.1</c:v>
                </c:pt>
                <c:pt idx="86">
                  <c:v>21.400000000000002</c:v>
                </c:pt>
                <c:pt idx="87">
                  <c:v>20.6</c:v>
                </c:pt>
                <c:pt idx="88">
                  <c:v>20.399999999999999</c:v>
                </c:pt>
                <c:pt idx="89">
                  <c:v>19.2</c:v>
                </c:pt>
                <c:pt idx="90">
                  <c:v>18.400000000000002</c:v>
                </c:pt>
                <c:pt idx="91">
                  <c:v>17.899999999999999</c:v>
                </c:pt>
                <c:pt idx="92">
                  <c:v>17.399999999999999</c:v>
                </c:pt>
                <c:pt idx="93">
                  <c:v>16.8</c:v>
                </c:pt>
                <c:pt idx="94">
                  <c:v>16.100000000000001</c:v>
                </c:pt>
                <c:pt idx="95">
                  <c:v>14.7</c:v>
                </c:pt>
                <c:pt idx="96">
                  <c:v>14.1</c:v>
                </c:pt>
                <c:pt idx="97">
                  <c:v>13.3</c:v>
                </c:pt>
                <c:pt idx="98">
                  <c:v>12.3</c:v>
                </c:pt>
                <c:pt idx="99">
                  <c:v>11.7</c:v>
                </c:pt>
                <c:pt idx="100">
                  <c:v>10.8</c:v>
                </c:pt>
                <c:pt idx="101">
                  <c:v>10.1</c:v>
                </c:pt>
                <c:pt idx="102">
                  <c:v>9.3999999999999986</c:v>
                </c:pt>
                <c:pt idx="103">
                  <c:v>8.8000000000000007</c:v>
                </c:pt>
                <c:pt idx="104">
                  <c:v>8</c:v>
                </c:pt>
                <c:pt idx="105">
                  <c:v>7.6</c:v>
                </c:pt>
                <c:pt idx="106">
                  <c:v>7.1999999999999993</c:v>
                </c:pt>
                <c:pt idx="107">
                  <c:v>6.7</c:v>
                </c:pt>
                <c:pt idx="108">
                  <c:v>6.3</c:v>
                </c:pt>
                <c:pt idx="109">
                  <c:v>5.8999999999999995</c:v>
                </c:pt>
                <c:pt idx="110">
                  <c:v>5.5</c:v>
                </c:pt>
                <c:pt idx="111">
                  <c:v>5</c:v>
                </c:pt>
                <c:pt idx="112">
                  <c:v>5.2</c:v>
                </c:pt>
                <c:pt idx="113">
                  <c:v>4.6999999999999993</c:v>
                </c:pt>
                <c:pt idx="114">
                  <c:v>4.2</c:v>
                </c:pt>
                <c:pt idx="115">
                  <c:v>3.8</c:v>
                </c:pt>
                <c:pt idx="116">
                  <c:v>3.5999999999999996</c:v>
                </c:pt>
                <c:pt idx="117">
                  <c:v>3.1</c:v>
                </c:pt>
                <c:pt idx="118">
                  <c:v>2.1</c:v>
                </c:pt>
                <c:pt idx="119">
                  <c:v>1.7999999999999998</c:v>
                </c:pt>
                <c:pt idx="120">
                  <c:v>1.6</c:v>
                </c:pt>
                <c:pt idx="121">
                  <c:v>1.2</c:v>
                </c:pt>
                <c:pt idx="122">
                  <c:v>0.89999999999999991</c:v>
                </c:pt>
                <c:pt idx="123">
                  <c:v>0.70000000000000007</c:v>
                </c:pt>
                <c:pt idx="124">
                  <c:v>0.70000000000000007</c:v>
                </c:pt>
                <c:pt idx="125">
                  <c:v>0.5</c:v>
                </c:pt>
                <c:pt idx="126">
                  <c:v>0.4</c:v>
                </c:pt>
                <c:pt idx="127">
                  <c:v>0.3</c:v>
                </c:pt>
                <c:pt idx="128">
                  <c:v>0.2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BF-46BC-8B45-404FB48B32CE}"/>
            </c:ext>
          </c:extLst>
        </c:ser>
        <c:ser>
          <c:idx val="2"/>
          <c:order val="2"/>
          <c:tx>
            <c:strRef>
              <c:f>'EXP1'!$D$1</c:f>
              <c:strCache>
                <c:ptCount val="1"/>
                <c:pt idx="0">
                  <c:v>Deflection in mm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'EXP1'!$A$2:$A$172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66</c:v>
                </c:pt>
                <c:pt idx="69">
                  <c:v>65</c:v>
                </c:pt>
                <c:pt idx="70">
                  <c:v>64</c:v>
                </c:pt>
                <c:pt idx="71">
                  <c:v>63</c:v>
                </c:pt>
                <c:pt idx="72">
                  <c:v>62</c:v>
                </c:pt>
                <c:pt idx="73">
                  <c:v>61</c:v>
                </c:pt>
                <c:pt idx="74">
                  <c:v>60</c:v>
                </c:pt>
                <c:pt idx="75">
                  <c:v>59</c:v>
                </c:pt>
                <c:pt idx="76">
                  <c:v>58</c:v>
                </c:pt>
                <c:pt idx="77">
                  <c:v>57</c:v>
                </c:pt>
                <c:pt idx="78">
                  <c:v>56</c:v>
                </c:pt>
                <c:pt idx="79">
                  <c:v>55</c:v>
                </c:pt>
                <c:pt idx="80">
                  <c:v>54</c:v>
                </c:pt>
                <c:pt idx="81">
                  <c:v>53</c:v>
                </c:pt>
                <c:pt idx="82">
                  <c:v>52</c:v>
                </c:pt>
                <c:pt idx="83">
                  <c:v>51</c:v>
                </c:pt>
                <c:pt idx="84">
                  <c:v>50</c:v>
                </c:pt>
                <c:pt idx="85">
                  <c:v>49</c:v>
                </c:pt>
                <c:pt idx="86">
                  <c:v>48</c:v>
                </c:pt>
                <c:pt idx="87">
                  <c:v>47</c:v>
                </c:pt>
                <c:pt idx="88">
                  <c:v>46</c:v>
                </c:pt>
                <c:pt idx="89">
                  <c:v>45</c:v>
                </c:pt>
                <c:pt idx="90">
                  <c:v>44</c:v>
                </c:pt>
                <c:pt idx="91">
                  <c:v>43</c:v>
                </c:pt>
                <c:pt idx="92">
                  <c:v>42</c:v>
                </c:pt>
                <c:pt idx="93">
                  <c:v>41</c:v>
                </c:pt>
                <c:pt idx="94">
                  <c:v>40</c:v>
                </c:pt>
                <c:pt idx="95">
                  <c:v>39</c:v>
                </c:pt>
                <c:pt idx="96">
                  <c:v>38</c:v>
                </c:pt>
                <c:pt idx="97">
                  <c:v>37</c:v>
                </c:pt>
                <c:pt idx="98">
                  <c:v>36</c:v>
                </c:pt>
                <c:pt idx="99">
                  <c:v>35</c:v>
                </c:pt>
                <c:pt idx="100">
                  <c:v>34</c:v>
                </c:pt>
                <c:pt idx="101">
                  <c:v>33</c:v>
                </c:pt>
                <c:pt idx="102">
                  <c:v>32</c:v>
                </c:pt>
                <c:pt idx="103">
                  <c:v>31</c:v>
                </c:pt>
                <c:pt idx="104">
                  <c:v>30</c:v>
                </c:pt>
                <c:pt idx="105">
                  <c:v>29</c:v>
                </c:pt>
                <c:pt idx="106">
                  <c:v>28</c:v>
                </c:pt>
                <c:pt idx="107">
                  <c:v>27</c:v>
                </c:pt>
                <c:pt idx="108">
                  <c:v>26</c:v>
                </c:pt>
                <c:pt idx="109">
                  <c:v>25</c:v>
                </c:pt>
                <c:pt idx="110">
                  <c:v>24</c:v>
                </c:pt>
                <c:pt idx="111">
                  <c:v>23</c:v>
                </c:pt>
                <c:pt idx="112">
                  <c:v>22</c:v>
                </c:pt>
                <c:pt idx="113">
                  <c:v>21</c:v>
                </c:pt>
                <c:pt idx="114">
                  <c:v>20</c:v>
                </c:pt>
                <c:pt idx="115">
                  <c:v>19</c:v>
                </c:pt>
                <c:pt idx="116">
                  <c:v>18</c:v>
                </c:pt>
                <c:pt idx="117">
                  <c:v>17</c:v>
                </c:pt>
                <c:pt idx="118">
                  <c:v>16</c:v>
                </c:pt>
                <c:pt idx="119">
                  <c:v>15</c:v>
                </c:pt>
                <c:pt idx="120">
                  <c:v>14</c:v>
                </c:pt>
                <c:pt idx="121">
                  <c:v>13</c:v>
                </c:pt>
                <c:pt idx="122">
                  <c:v>12</c:v>
                </c:pt>
                <c:pt idx="123">
                  <c:v>11</c:v>
                </c:pt>
                <c:pt idx="124">
                  <c:v>10</c:v>
                </c:pt>
                <c:pt idx="125">
                  <c:v>9</c:v>
                </c:pt>
                <c:pt idx="126">
                  <c:v>8</c:v>
                </c:pt>
                <c:pt idx="127">
                  <c:v>7</c:v>
                </c:pt>
                <c:pt idx="128">
                  <c:v>6</c:v>
                </c:pt>
                <c:pt idx="129">
                  <c:v>5</c:v>
                </c:pt>
                <c:pt idx="130">
                  <c:v>4</c:v>
                </c:pt>
                <c:pt idx="131">
                  <c:v>3</c:v>
                </c:pt>
                <c:pt idx="132">
                  <c:v>2</c:v>
                </c:pt>
                <c:pt idx="133">
                  <c:v>1</c:v>
                </c:pt>
              </c:numCache>
            </c:numRef>
          </c:xVal>
          <c:yVal>
            <c:numRef>
              <c:f>'EXP1'!$D$2:$D$172</c:f>
              <c:numCache>
                <c:formatCode>General</c:formatCode>
                <c:ptCount val="1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7BF-46BC-8B45-404FB48B32CE}"/>
            </c:ext>
          </c:extLst>
        </c:ser>
        <c:ser>
          <c:idx val="3"/>
          <c:order val="3"/>
          <c:tx>
            <c:strRef>
              <c:f>'EXP1'!$E$1</c:f>
              <c:strCache>
                <c:ptCount val="1"/>
                <c:pt idx="0">
                  <c:v>Load in 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'EXP1'!$A$2:$A$172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66</c:v>
                </c:pt>
                <c:pt idx="69">
                  <c:v>65</c:v>
                </c:pt>
                <c:pt idx="70">
                  <c:v>64</c:v>
                </c:pt>
                <c:pt idx="71">
                  <c:v>63</c:v>
                </c:pt>
                <c:pt idx="72">
                  <c:v>62</c:v>
                </c:pt>
                <c:pt idx="73">
                  <c:v>61</c:v>
                </c:pt>
                <c:pt idx="74">
                  <c:v>60</c:v>
                </c:pt>
                <c:pt idx="75">
                  <c:v>59</c:v>
                </c:pt>
                <c:pt idx="76">
                  <c:v>58</c:v>
                </c:pt>
                <c:pt idx="77">
                  <c:v>57</c:v>
                </c:pt>
                <c:pt idx="78">
                  <c:v>56</c:v>
                </c:pt>
                <c:pt idx="79">
                  <c:v>55</c:v>
                </c:pt>
                <c:pt idx="80">
                  <c:v>54</c:v>
                </c:pt>
                <c:pt idx="81">
                  <c:v>53</c:v>
                </c:pt>
                <c:pt idx="82">
                  <c:v>52</c:v>
                </c:pt>
                <c:pt idx="83">
                  <c:v>51</c:v>
                </c:pt>
                <c:pt idx="84">
                  <c:v>50</c:v>
                </c:pt>
                <c:pt idx="85">
                  <c:v>49</c:v>
                </c:pt>
                <c:pt idx="86">
                  <c:v>48</c:v>
                </c:pt>
                <c:pt idx="87">
                  <c:v>47</c:v>
                </c:pt>
                <c:pt idx="88">
                  <c:v>46</c:v>
                </c:pt>
                <c:pt idx="89">
                  <c:v>45</c:v>
                </c:pt>
                <c:pt idx="90">
                  <c:v>44</c:v>
                </c:pt>
                <c:pt idx="91">
                  <c:v>43</c:v>
                </c:pt>
                <c:pt idx="92">
                  <c:v>42</c:v>
                </c:pt>
                <c:pt idx="93">
                  <c:v>41</c:v>
                </c:pt>
                <c:pt idx="94">
                  <c:v>40</c:v>
                </c:pt>
                <c:pt idx="95">
                  <c:v>39</c:v>
                </c:pt>
                <c:pt idx="96">
                  <c:v>38</c:v>
                </c:pt>
                <c:pt idx="97">
                  <c:v>37</c:v>
                </c:pt>
                <c:pt idx="98">
                  <c:v>36</c:v>
                </c:pt>
                <c:pt idx="99">
                  <c:v>35</c:v>
                </c:pt>
                <c:pt idx="100">
                  <c:v>34</c:v>
                </c:pt>
                <c:pt idx="101">
                  <c:v>33</c:v>
                </c:pt>
                <c:pt idx="102">
                  <c:v>32</c:v>
                </c:pt>
                <c:pt idx="103">
                  <c:v>31</c:v>
                </c:pt>
                <c:pt idx="104">
                  <c:v>30</c:v>
                </c:pt>
                <c:pt idx="105">
                  <c:v>29</c:v>
                </c:pt>
                <c:pt idx="106">
                  <c:v>28</c:v>
                </c:pt>
                <c:pt idx="107">
                  <c:v>27</c:v>
                </c:pt>
                <c:pt idx="108">
                  <c:v>26</c:v>
                </c:pt>
                <c:pt idx="109">
                  <c:v>25</c:v>
                </c:pt>
                <c:pt idx="110">
                  <c:v>24</c:v>
                </c:pt>
                <c:pt idx="111">
                  <c:v>23</c:v>
                </c:pt>
                <c:pt idx="112">
                  <c:v>22</c:v>
                </c:pt>
                <c:pt idx="113">
                  <c:v>21</c:v>
                </c:pt>
                <c:pt idx="114">
                  <c:v>20</c:v>
                </c:pt>
                <c:pt idx="115">
                  <c:v>19</c:v>
                </c:pt>
                <c:pt idx="116">
                  <c:v>18</c:v>
                </c:pt>
                <c:pt idx="117">
                  <c:v>17</c:v>
                </c:pt>
                <c:pt idx="118">
                  <c:v>16</c:v>
                </c:pt>
                <c:pt idx="119">
                  <c:v>15</c:v>
                </c:pt>
                <c:pt idx="120">
                  <c:v>14</c:v>
                </c:pt>
                <c:pt idx="121">
                  <c:v>13</c:v>
                </c:pt>
                <c:pt idx="122">
                  <c:v>12</c:v>
                </c:pt>
                <c:pt idx="123">
                  <c:v>11</c:v>
                </c:pt>
                <c:pt idx="124">
                  <c:v>10</c:v>
                </c:pt>
                <c:pt idx="125">
                  <c:v>9</c:v>
                </c:pt>
                <c:pt idx="126">
                  <c:v>8</c:v>
                </c:pt>
                <c:pt idx="127">
                  <c:v>7</c:v>
                </c:pt>
                <c:pt idx="128">
                  <c:v>6</c:v>
                </c:pt>
                <c:pt idx="129">
                  <c:v>5</c:v>
                </c:pt>
                <c:pt idx="130">
                  <c:v>4</c:v>
                </c:pt>
                <c:pt idx="131">
                  <c:v>3</c:v>
                </c:pt>
                <c:pt idx="132">
                  <c:v>2</c:v>
                </c:pt>
                <c:pt idx="133">
                  <c:v>1</c:v>
                </c:pt>
              </c:numCache>
            </c:numRef>
          </c:xVal>
          <c:yVal>
            <c:numRef>
              <c:f>'EXP1'!$E$2:$E$172</c:f>
              <c:numCache>
                <c:formatCode>0.00</c:formatCode>
                <c:ptCount val="1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BF-46BC-8B45-404FB48B32CE}"/>
            </c:ext>
          </c:extLst>
        </c:ser>
        <c:ser>
          <c:idx val="4"/>
          <c:order val="4"/>
          <c:tx>
            <c:strRef>
              <c:f>'EXP1'!$F$1</c:f>
              <c:strCache>
                <c:ptCount val="1"/>
                <c:pt idx="0">
                  <c:v>Reading Difference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'EXP1'!$A$2:$A$172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66</c:v>
                </c:pt>
                <c:pt idx="69">
                  <c:v>65</c:v>
                </c:pt>
                <c:pt idx="70">
                  <c:v>64</c:v>
                </c:pt>
                <c:pt idx="71">
                  <c:v>63</c:v>
                </c:pt>
                <c:pt idx="72">
                  <c:v>62</c:v>
                </c:pt>
                <c:pt idx="73">
                  <c:v>61</c:v>
                </c:pt>
                <c:pt idx="74">
                  <c:v>60</c:v>
                </c:pt>
                <c:pt idx="75">
                  <c:v>59</c:v>
                </c:pt>
                <c:pt idx="76">
                  <c:v>58</c:v>
                </c:pt>
                <c:pt idx="77">
                  <c:v>57</c:v>
                </c:pt>
                <c:pt idx="78">
                  <c:v>56</c:v>
                </c:pt>
                <c:pt idx="79">
                  <c:v>55</c:v>
                </c:pt>
                <c:pt idx="80">
                  <c:v>54</c:v>
                </c:pt>
                <c:pt idx="81">
                  <c:v>53</c:v>
                </c:pt>
                <c:pt idx="82">
                  <c:v>52</c:v>
                </c:pt>
                <c:pt idx="83">
                  <c:v>51</c:v>
                </c:pt>
                <c:pt idx="84">
                  <c:v>50</c:v>
                </c:pt>
                <c:pt idx="85">
                  <c:v>49</c:v>
                </c:pt>
                <c:pt idx="86">
                  <c:v>48</c:v>
                </c:pt>
                <c:pt idx="87">
                  <c:v>47</c:v>
                </c:pt>
                <c:pt idx="88">
                  <c:v>46</c:v>
                </c:pt>
                <c:pt idx="89">
                  <c:v>45</c:v>
                </c:pt>
                <c:pt idx="90">
                  <c:v>44</c:v>
                </c:pt>
                <c:pt idx="91">
                  <c:v>43</c:v>
                </c:pt>
                <c:pt idx="92">
                  <c:v>42</c:v>
                </c:pt>
                <c:pt idx="93">
                  <c:v>41</c:v>
                </c:pt>
                <c:pt idx="94">
                  <c:v>40</c:v>
                </c:pt>
                <c:pt idx="95">
                  <c:v>39</c:v>
                </c:pt>
                <c:pt idx="96">
                  <c:v>38</c:v>
                </c:pt>
                <c:pt idx="97">
                  <c:v>37</c:v>
                </c:pt>
                <c:pt idx="98">
                  <c:v>36</c:v>
                </c:pt>
                <c:pt idx="99">
                  <c:v>35</c:v>
                </c:pt>
                <c:pt idx="100">
                  <c:v>34</c:v>
                </c:pt>
                <c:pt idx="101">
                  <c:v>33</c:v>
                </c:pt>
                <c:pt idx="102">
                  <c:v>32</c:v>
                </c:pt>
                <c:pt idx="103">
                  <c:v>31</c:v>
                </c:pt>
                <c:pt idx="104">
                  <c:v>30</c:v>
                </c:pt>
                <c:pt idx="105">
                  <c:v>29</c:v>
                </c:pt>
                <c:pt idx="106">
                  <c:v>28</c:v>
                </c:pt>
                <c:pt idx="107">
                  <c:v>27</c:v>
                </c:pt>
                <c:pt idx="108">
                  <c:v>26</c:v>
                </c:pt>
                <c:pt idx="109">
                  <c:v>25</c:v>
                </c:pt>
                <c:pt idx="110">
                  <c:v>24</c:v>
                </c:pt>
                <c:pt idx="111">
                  <c:v>23</c:v>
                </c:pt>
                <c:pt idx="112">
                  <c:v>22</c:v>
                </c:pt>
                <c:pt idx="113">
                  <c:v>21</c:v>
                </c:pt>
                <c:pt idx="114">
                  <c:v>20</c:v>
                </c:pt>
                <c:pt idx="115">
                  <c:v>19</c:v>
                </c:pt>
                <c:pt idx="116">
                  <c:v>18</c:v>
                </c:pt>
                <c:pt idx="117">
                  <c:v>17</c:v>
                </c:pt>
                <c:pt idx="118">
                  <c:v>16</c:v>
                </c:pt>
                <c:pt idx="119">
                  <c:v>15</c:v>
                </c:pt>
                <c:pt idx="120">
                  <c:v>14</c:v>
                </c:pt>
                <c:pt idx="121">
                  <c:v>13</c:v>
                </c:pt>
                <c:pt idx="122">
                  <c:v>12</c:v>
                </c:pt>
                <c:pt idx="123">
                  <c:v>11</c:v>
                </c:pt>
                <c:pt idx="124">
                  <c:v>10</c:v>
                </c:pt>
                <c:pt idx="125">
                  <c:v>9</c:v>
                </c:pt>
                <c:pt idx="126">
                  <c:v>8</c:v>
                </c:pt>
                <c:pt idx="127">
                  <c:v>7</c:v>
                </c:pt>
                <c:pt idx="128">
                  <c:v>6</c:v>
                </c:pt>
                <c:pt idx="129">
                  <c:v>5</c:v>
                </c:pt>
                <c:pt idx="130">
                  <c:v>4</c:v>
                </c:pt>
                <c:pt idx="131">
                  <c:v>3</c:v>
                </c:pt>
                <c:pt idx="132">
                  <c:v>2</c:v>
                </c:pt>
                <c:pt idx="133">
                  <c:v>1</c:v>
                </c:pt>
              </c:numCache>
            </c:numRef>
          </c:xVal>
          <c:yVal>
            <c:numRef>
              <c:f>'EXP1'!$F$2:$F$172</c:f>
              <c:numCache>
                <c:formatCode>General</c:formatCode>
                <c:ptCount val="1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7BF-46BC-8B45-404FB48B3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338624"/>
        <c:axId val="461338952"/>
      </c:scatterChart>
      <c:valAx>
        <c:axId val="461338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38952"/>
        <c:crosses val="autoZero"/>
        <c:crossBetween val="midCat"/>
      </c:valAx>
      <c:valAx>
        <c:axId val="461338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38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76199</xdr:colOff>
      <xdr:row>0</xdr:row>
      <xdr:rowOff>371475</xdr:rowOff>
    </xdr:from>
    <xdr:to>
      <xdr:col>20</xdr:col>
      <xdr:colOff>66674</xdr:colOff>
      <xdr:row>29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31"/>
  <sheetViews>
    <sheetView topLeftCell="A58" workbookViewId="0">
      <selection activeCell="C70" sqref="C70"/>
    </sheetView>
  </sheetViews>
  <sheetFormatPr defaultRowHeight="12.75" x14ac:dyDescent="0.2"/>
  <cols>
    <col min="1" max="1" width="18.85546875" style="6" customWidth="1"/>
    <col min="2" max="2" width="15" style="7" customWidth="1"/>
    <col min="3" max="3" width="9" style="8" customWidth="1"/>
    <col min="4" max="6" width="9.140625" style="8"/>
    <col min="7" max="10" width="9.140625" style="1"/>
  </cols>
  <sheetData>
    <row r="1" spans="1:10" s="9" customFormat="1" x14ac:dyDescent="0.2">
      <c r="A1" s="4" t="s">
        <v>0</v>
      </c>
      <c r="B1" s="3" t="s">
        <v>52</v>
      </c>
      <c r="C1" s="2" t="s">
        <v>1</v>
      </c>
      <c r="D1" s="2"/>
      <c r="E1" s="2"/>
      <c r="F1" s="2"/>
      <c r="G1" s="2"/>
      <c r="H1" s="2"/>
      <c r="I1" s="2"/>
      <c r="J1" s="2"/>
    </row>
    <row r="2" spans="1:10" x14ac:dyDescent="0.2">
      <c r="A2" s="6">
        <v>0.55194444444444446</v>
      </c>
      <c r="B2" s="7">
        <v>1</v>
      </c>
      <c r="C2" s="8">
        <v>0.02</v>
      </c>
    </row>
    <row r="3" spans="1:10" x14ac:dyDescent="0.2">
      <c r="A3" s="6">
        <v>0.55196759259259254</v>
      </c>
      <c r="B3" s="7">
        <v>2</v>
      </c>
      <c r="C3" s="8">
        <v>0.04</v>
      </c>
      <c r="D3" s="5"/>
    </row>
    <row r="4" spans="1:10" x14ac:dyDescent="0.2">
      <c r="A4" s="6">
        <v>0.55197916666666669</v>
      </c>
      <c r="B4" s="7">
        <v>3</v>
      </c>
      <c r="C4" s="8">
        <v>0.06</v>
      </c>
    </row>
    <row r="5" spans="1:10" x14ac:dyDescent="0.2">
      <c r="A5" s="6">
        <v>0.55199074074074073</v>
      </c>
      <c r="B5" s="7">
        <v>4</v>
      </c>
      <c r="C5" s="8">
        <v>7.0000000000000007E-2</v>
      </c>
      <c r="D5" s="5"/>
    </row>
    <row r="6" spans="1:10" x14ac:dyDescent="0.2">
      <c r="A6" s="6">
        <v>0.55200231481481488</v>
      </c>
      <c r="B6" s="7">
        <v>5</v>
      </c>
      <c r="C6" s="8">
        <v>0.11</v>
      </c>
    </row>
    <row r="7" spans="1:10" x14ac:dyDescent="0.2">
      <c r="A7" s="6">
        <v>0.55201388888888892</v>
      </c>
      <c r="B7" s="7">
        <v>6</v>
      </c>
      <c r="C7" s="8">
        <v>0.15</v>
      </c>
      <c r="D7" s="5"/>
    </row>
    <row r="8" spans="1:10" x14ac:dyDescent="0.2">
      <c r="A8" s="6">
        <v>0.55223379629629632</v>
      </c>
      <c r="B8" s="7">
        <v>7</v>
      </c>
      <c r="C8" s="8">
        <v>0.19</v>
      </c>
    </row>
    <row r="9" spans="1:10" x14ac:dyDescent="0.2">
      <c r="A9" s="6">
        <v>0.5522569444444444</v>
      </c>
      <c r="B9" s="7">
        <v>8</v>
      </c>
      <c r="C9" s="8">
        <v>0.23</v>
      </c>
      <c r="D9" s="5"/>
    </row>
    <row r="10" spans="1:10" x14ac:dyDescent="0.2">
      <c r="A10" s="6">
        <v>0.55228009259259259</v>
      </c>
      <c r="B10" s="7">
        <v>9</v>
      </c>
      <c r="C10" s="8">
        <v>0.26</v>
      </c>
    </row>
    <row r="11" spans="1:10" x14ac:dyDescent="0.2">
      <c r="A11" s="6">
        <v>0.55229166666666674</v>
      </c>
      <c r="B11" s="7">
        <v>10</v>
      </c>
      <c r="C11" s="8">
        <v>0.31</v>
      </c>
      <c r="D11" s="5"/>
    </row>
    <row r="12" spans="1:10" x14ac:dyDescent="0.2">
      <c r="A12" s="6">
        <v>0.55231481481481481</v>
      </c>
      <c r="B12" s="7">
        <v>11</v>
      </c>
      <c r="C12" s="8">
        <v>0.33</v>
      </c>
    </row>
    <row r="13" spans="1:10" x14ac:dyDescent="0.2">
      <c r="A13" s="6">
        <v>0.55233796296296289</v>
      </c>
      <c r="B13" s="7">
        <v>12</v>
      </c>
      <c r="C13" s="8">
        <v>0.35</v>
      </c>
      <c r="D13" s="5"/>
    </row>
    <row r="14" spans="1:10" x14ac:dyDescent="0.2">
      <c r="A14" s="6">
        <v>0.55236111111111108</v>
      </c>
      <c r="B14" s="7">
        <v>13</v>
      </c>
      <c r="C14" s="8">
        <v>0.39</v>
      </c>
    </row>
    <row r="15" spans="1:10" x14ac:dyDescent="0.2">
      <c r="A15" s="6">
        <v>0.55239583333333331</v>
      </c>
      <c r="B15" s="7">
        <v>14</v>
      </c>
      <c r="C15" s="8">
        <v>0.47</v>
      </c>
      <c r="D15" s="5"/>
    </row>
    <row r="16" spans="1:10" x14ac:dyDescent="0.2">
      <c r="A16" s="6">
        <v>0.55240740740740735</v>
      </c>
      <c r="B16" s="7">
        <v>15</v>
      </c>
      <c r="C16" s="8">
        <v>0.54</v>
      </c>
    </row>
    <row r="17" spans="1:4" x14ac:dyDescent="0.2">
      <c r="A17" s="6">
        <v>0.55245370370370372</v>
      </c>
      <c r="B17" s="7">
        <v>16</v>
      </c>
      <c r="C17" s="8">
        <v>0.69</v>
      </c>
      <c r="D17" s="5"/>
    </row>
    <row r="18" spans="1:4" x14ac:dyDescent="0.2">
      <c r="A18" s="6">
        <v>0.55246527777777776</v>
      </c>
      <c r="B18" s="7">
        <v>17</v>
      </c>
      <c r="C18" s="8">
        <v>0.75</v>
      </c>
    </row>
    <row r="19" spans="1:4" x14ac:dyDescent="0.2">
      <c r="A19" s="6">
        <v>0.55248842592592595</v>
      </c>
      <c r="B19" s="7">
        <v>18</v>
      </c>
      <c r="C19" s="8">
        <v>0.82</v>
      </c>
      <c r="D19" s="5"/>
    </row>
    <row r="20" spans="1:4" x14ac:dyDescent="0.2">
      <c r="A20" s="6">
        <v>0.55252314814814818</v>
      </c>
      <c r="B20" s="7">
        <v>19</v>
      </c>
      <c r="C20" s="8">
        <v>0.89</v>
      </c>
    </row>
    <row r="21" spans="1:4" x14ac:dyDescent="0.2">
      <c r="A21" s="6">
        <v>0.55254629629629626</v>
      </c>
      <c r="B21" s="7">
        <v>20</v>
      </c>
      <c r="C21" s="8">
        <v>0.94</v>
      </c>
      <c r="D21" s="5"/>
    </row>
    <row r="22" spans="1:4" x14ac:dyDescent="0.2">
      <c r="A22" s="6">
        <v>0.55256944444444445</v>
      </c>
      <c r="B22" s="7">
        <v>21</v>
      </c>
      <c r="C22" s="8">
        <v>1.01</v>
      </c>
    </row>
    <row r="23" spans="1:4" x14ac:dyDescent="0.2">
      <c r="A23" s="6">
        <v>0.55259259259259264</v>
      </c>
      <c r="B23" s="7">
        <v>22</v>
      </c>
      <c r="C23" s="8">
        <v>1.06</v>
      </c>
      <c r="D23" s="5"/>
    </row>
    <row r="24" spans="1:4" x14ac:dyDescent="0.2">
      <c r="A24" s="6">
        <v>0.55261574074074071</v>
      </c>
      <c r="B24" s="7">
        <v>23</v>
      </c>
      <c r="C24" s="8">
        <v>1.1399999999999999</v>
      </c>
    </row>
    <row r="25" spans="1:4" x14ac:dyDescent="0.2">
      <c r="A25" s="6">
        <v>0.5526388888888889</v>
      </c>
      <c r="B25" s="7">
        <v>24</v>
      </c>
      <c r="C25" s="8">
        <v>1.2</v>
      </c>
      <c r="D25" s="5"/>
    </row>
    <row r="26" spans="1:4" x14ac:dyDescent="0.2">
      <c r="A26" s="6">
        <v>0.55267361111111113</v>
      </c>
      <c r="B26" s="7">
        <v>25</v>
      </c>
      <c r="C26" s="8">
        <v>1.28</v>
      </c>
    </row>
    <row r="27" spans="1:4" x14ac:dyDescent="0.2">
      <c r="A27" s="6">
        <v>0.55269675925925921</v>
      </c>
      <c r="B27" s="7">
        <v>26</v>
      </c>
      <c r="C27" s="8">
        <v>1.33</v>
      </c>
      <c r="D27" s="5"/>
    </row>
    <row r="28" spans="1:4" x14ac:dyDescent="0.2">
      <c r="A28" s="6">
        <v>0.55273148148148155</v>
      </c>
      <c r="B28" s="7">
        <v>27</v>
      </c>
      <c r="C28" s="8">
        <v>1.33</v>
      </c>
    </row>
    <row r="29" spans="1:4" x14ac:dyDescent="0.2">
      <c r="A29" s="6">
        <v>0.55275462962962962</v>
      </c>
      <c r="B29" s="7">
        <v>28</v>
      </c>
      <c r="C29" s="8">
        <v>1.38</v>
      </c>
      <c r="D29" s="5"/>
    </row>
    <row r="30" spans="1:4" x14ac:dyDescent="0.2">
      <c r="A30" s="6">
        <v>0.55278935185185185</v>
      </c>
      <c r="B30" s="7">
        <v>29</v>
      </c>
      <c r="C30" s="8">
        <v>1.41</v>
      </c>
    </row>
    <row r="31" spans="1:4" x14ac:dyDescent="0.2">
      <c r="A31" s="6">
        <v>0.55281250000000004</v>
      </c>
      <c r="B31" s="7">
        <v>30</v>
      </c>
      <c r="C31" s="8">
        <v>1.47</v>
      </c>
      <c r="D31" s="5"/>
    </row>
    <row r="32" spans="1:4" x14ac:dyDescent="0.2">
      <c r="A32" s="6">
        <v>0.55302083333333341</v>
      </c>
      <c r="B32" s="7">
        <v>31</v>
      </c>
      <c r="C32" s="8">
        <v>1.53</v>
      </c>
    </row>
    <row r="33" spans="1:4" x14ac:dyDescent="0.2">
      <c r="A33" s="6">
        <v>0.55305555555555552</v>
      </c>
      <c r="B33" s="7">
        <v>32</v>
      </c>
      <c r="C33" s="8">
        <v>1.64</v>
      </c>
      <c r="D33" s="5"/>
    </row>
    <row r="34" spans="1:4" x14ac:dyDescent="0.2">
      <c r="A34" s="6">
        <v>0.55309027777777775</v>
      </c>
      <c r="B34" s="7">
        <v>33</v>
      </c>
      <c r="C34" s="8">
        <v>1.72</v>
      </c>
    </row>
    <row r="35" spans="1:4" x14ac:dyDescent="0.2">
      <c r="A35" s="6">
        <v>0.55313657407407402</v>
      </c>
      <c r="B35" s="7">
        <v>34</v>
      </c>
      <c r="C35" s="8">
        <v>1.84</v>
      </c>
    </row>
    <row r="36" spans="1:4" x14ac:dyDescent="0.2">
      <c r="A36" s="6">
        <v>0.55317129629629636</v>
      </c>
      <c r="B36" s="7">
        <v>35</v>
      </c>
      <c r="C36" s="8">
        <v>1.93</v>
      </c>
    </row>
    <row r="37" spans="1:4" x14ac:dyDescent="0.2">
      <c r="A37" s="6">
        <v>0.55320601851851847</v>
      </c>
      <c r="B37" s="7">
        <v>36</v>
      </c>
      <c r="C37" s="8">
        <v>2.0299999999999998</v>
      </c>
    </row>
    <row r="38" spans="1:4" x14ac:dyDescent="0.2">
      <c r="A38" s="6">
        <v>0.55324074074074081</v>
      </c>
      <c r="B38" s="7">
        <v>37</v>
      </c>
      <c r="C38" s="8">
        <v>2.12</v>
      </c>
    </row>
    <row r="39" spans="1:4" x14ac:dyDescent="0.2">
      <c r="A39" s="6">
        <v>0.55327546296296293</v>
      </c>
      <c r="B39" s="7">
        <v>38</v>
      </c>
      <c r="C39" s="8">
        <v>2.21</v>
      </c>
    </row>
    <row r="40" spans="1:4" x14ac:dyDescent="0.2">
      <c r="A40" s="6">
        <v>0.55335648148148142</v>
      </c>
      <c r="B40" s="7">
        <v>39</v>
      </c>
      <c r="C40" s="8">
        <v>2.33</v>
      </c>
    </row>
    <row r="41" spans="1:4" x14ac:dyDescent="0.2">
      <c r="A41" s="6">
        <v>0.55337962962962961</v>
      </c>
      <c r="B41" s="7">
        <v>40</v>
      </c>
      <c r="C41" s="8">
        <v>2.4</v>
      </c>
    </row>
    <row r="42" spans="1:4" x14ac:dyDescent="0.2">
      <c r="A42" s="6">
        <v>0.55343750000000003</v>
      </c>
      <c r="B42" s="7">
        <v>41</v>
      </c>
      <c r="C42" s="8">
        <v>2.5099999999999998</v>
      </c>
    </row>
    <row r="43" spans="1:4" x14ac:dyDescent="0.2">
      <c r="A43" s="6">
        <v>0.55348379629629629</v>
      </c>
      <c r="B43" s="7">
        <v>42</v>
      </c>
      <c r="C43" s="8">
        <v>2.6</v>
      </c>
    </row>
    <row r="44" spans="1:4" x14ac:dyDescent="0.2">
      <c r="A44" s="6">
        <v>0.55351851851851852</v>
      </c>
      <c r="B44" s="7">
        <v>43</v>
      </c>
      <c r="C44" s="8">
        <v>2.68</v>
      </c>
    </row>
    <row r="45" spans="1:4" x14ac:dyDescent="0.2">
      <c r="A45" s="6">
        <v>0.55356481481481479</v>
      </c>
      <c r="B45" s="7">
        <v>44</v>
      </c>
      <c r="C45" s="8">
        <v>2.73</v>
      </c>
    </row>
    <row r="46" spans="1:4" x14ac:dyDescent="0.2">
      <c r="A46" s="6">
        <v>0.55361111111111116</v>
      </c>
      <c r="B46" s="7">
        <v>45</v>
      </c>
      <c r="C46" s="8">
        <v>2.79</v>
      </c>
    </row>
    <row r="47" spans="1:4" x14ac:dyDescent="0.2">
      <c r="A47" s="6">
        <v>0.55365740740740743</v>
      </c>
      <c r="B47" s="7">
        <v>46</v>
      </c>
      <c r="C47" s="8">
        <v>2.84</v>
      </c>
    </row>
    <row r="48" spans="1:4" x14ac:dyDescent="0.2">
      <c r="A48" s="6">
        <v>0.55369212962962966</v>
      </c>
      <c r="B48" s="7">
        <v>47</v>
      </c>
      <c r="C48" s="8">
        <v>2.9</v>
      </c>
    </row>
    <row r="49" spans="1:3" x14ac:dyDescent="0.2">
      <c r="A49" s="6">
        <v>0.55372685185185189</v>
      </c>
      <c r="B49" s="7">
        <v>48</v>
      </c>
      <c r="C49" s="8">
        <v>2.99</v>
      </c>
    </row>
    <row r="50" spans="1:3" x14ac:dyDescent="0.2">
      <c r="A50" s="6">
        <v>0.55377314814814815</v>
      </c>
      <c r="B50" s="7">
        <v>49</v>
      </c>
      <c r="C50" s="8">
        <v>3.09</v>
      </c>
    </row>
    <row r="51" spans="1:3" x14ac:dyDescent="0.2">
      <c r="A51" s="6">
        <v>0.55381944444444442</v>
      </c>
      <c r="B51" s="7">
        <v>50</v>
      </c>
      <c r="C51" s="8">
        <v>3.09</v>
      </c>
    </row>
    <row r="52" spans="1:3" x14ac:dyDescent="0.2">
      <c r="A52" s="6">
        <v>0.55387731481481484</v>
      </c>
      <c r="B52" s="7">
        <v>51</v>
      </c>
      <c r="C52" s="8">
        <v>3.15</v>
      </c>
    </row>
    <row r="53" spans="1:3" x14ac:dyDescent="0.2">
      <c r="A53" s="6">
        <v>0.55394675925925929</v>
      </c>
      <c r="B53" s="7">
        <v>52</v>
      </c>
      <c r="C53" s="8">
        <v>3.2</v>
      </c>
    </row>
    <row r="54" spans="1:3" x14ac:dyDescent="0.2">
      <c r="A54" s="6">
        <v>0.55398148148148152</v>
      </c>
      <c r="B54" s="7">
        <v>53</v>
      </c>
      <c r="C54" s="8">
        <v>3.29</v>
      </c>
    </row>
    <row r="55" spans="1:3" x14ac:dyDescent="0.2">
      <c r="A55" s="6">
        <v>0.55402777777777779</v>
      </c>
      <c r="B55" s="7">
        <v>54</v>
      </c>
      <c r="C55" s="8">
        <v>3.38</v>
      </c>
    </row>
    <row r="56" spans="1:3" x14ac:dyDescent="0.2">
      <c r="A56" s="6">
        <v>0.55406250000000001</v>
      </c>
      <c r="B56" s="7">
        <v>55</v>
      </c>
      <c r="C56" s="8">
        <v>3.48</v>
      </c>
    </row>
    <row r="57" spans="1:3" x14ac:dyDescent="0.2">
      <c r="A57" s="6">
        <v>0.55410879629629628</v>
      </c>
      <c r="B57" s="7">
        <v>56</v>
      </c>
      <c r="C57" s="8">
        <v>3.74</v>
      </c>
    </row>
    <row r="58" spans="1:3" x14ac:dyDescent="0.2">
      <c r="A58" s="6">
        <v>0.55414351851851851</v>
      </c>
      <c r="B58" s="7">
        <v>57</v>
      </c>
      <c r="C58" s="8">
        <v>3.88</v>
      </c>
    </row>
    <row r="59" spans="1:3" x14ac:dyDescent="0.2">
      <c r="A59" s="6">
        <v>0.55420138888888892</v>
      </c>
      <c r="B59" s="7">
        <v>58</v>
      </c>
      <c r="C59" s="8">
        <v>4.7699999999999996</v>
      </c>
    </row>
    <row r="60" spans="1:3" x14ac:dyDescent="0.2">
      <c r="A60" s="6">
        <v>0.55428240740740742</v>
      </c>
      <c r="B60" s="7">
        <v>59</v>
      </c>
      <c r="C60" s="8">
        <v>6.34</v>
      </c>
    </row>
    <row r="61" spans="1:3" x14ac:dyDescent="0.2">
      <c r="A61" s="6">
        <v>0.55431712962962965</v>
      </c>
      <c r="B61" s="7">
        <v>60</v>
      </c>
      <c r="C61" s="8">
        <v>7.86</v>
      </c>
    </row>
    <row r="62" spans="1:3" x14ac:dyDescent="0.2">
      <c r="A62" s="6">
        <v>0.55437499999999995</v>
      </c>
      <c r="B62" s="7">
        <v>61</v>
      </c>
      <c r="C62" s="8">
        <v>9.5299999999999994</v>
      </c>
    </row>
    <row r="63" spans="1:3" x14ac:dyDescent="0.2">
      <c r="A63" s="6">
        <v>0.55457175925925928</v>
      </c>
      <c r="B63" s="7">
        <v>62</v>
      </c>
      <c r="C63" s="8">
        <v>13.4</v>
      </c>
    </row>
    <row r="64" spans="1:3" x14ac:dyDescent="0.2">
      <c r="A64" s="6">
        <v>0.55466435185185181</v>
      </c>
      <c r="B64" s="7">
        <v>63</v>
      </c>
      <c r="C64" s="8">
        <v>14.75</v>
      </c>
    </row>
    <row r="65" spans="1:3" x14ac:dyDescent="0.2">
      <c r="A65" s="6">
        <v>0.55481481481481476</v>
      </c>
      <c r="B65" s="7">
        <v>64</v>
      </c>
      <c r="C65" s="8">
        <v>16.510000000000002</v>
      </c>
    </row>
    <row r="66" spans="1:3" x14ac:dyDescent="0.2">
      <c r="A66" s="6">
        <v>0.55483796296296295</v>
      </c>
      <c r="B66" s="7">
        <v>65</v>
      </c>
      <c r="C66" s="8">
        <v>18.14</v>
      </c>
    </row>
    <row r="67" spans="1:3" x14ac:dyDescent="0.2">
      <c r="A67" s="6">
        <v>0.55487268518518518</v>
      </c>
      <c r="B67" s="7">
        <v>66</v>
      </c>
      <c r="C67" s="8">
        <v>18.75</v>
      </c>
    </row>
    <row r="68" spans="1:3" x14ac:dyDescent="0.2">
      <c r="A68" s="6">
        <v>0.55495370370370367</v>
      </c>
      <c r="B68" s="7">
        <v>67</v>
      </c>
      <c r="C68" s="8">
        <v>20.309999999999999</v>
      </c>
    </row>
    <row r="69" spans="1:3" x14ac:dyDescent="0.2">
      <c r="A69" s="6">
        <v>0.55510416666666662</v>
      </c>
      <c r="B69" s="7">
        <v>68</v>
      </c>
      <c r="C69" s="8">
        <v>20.54</v>
      </c>
    </row>
    <row r="70" spans="1:3" x14ac:dyDescent="0.2">
      <c r="A70" s="6">
        <v>0.55512731481481481</v>
      </c>
      <c r="B70" s="7">
        <v>69</v>
      </c>
      <c r="C70" s="8">
        <v>14.55</v>
      </c>
    </row>
    <row r="71" spans="1:3" x14ac:dyDescent="0.2">
      <c r="A71" s="6">
        <v>0.55513888888888896</v>
      </c>
      <c r="B71" s="7">
        <v>70</v>
      </c>
      <c r="C71" s="8">
        <v>11.71</v>
      </c>
    </row>
    <row r="72" spans="1:3" x14ac:dyDescent="0.2">
      <c r="A72" s="6">
        <v>0.555150462962963</v>
      </c>
      <c r="B72" s="7">
        <v>71</v>
      </c>
      <c r="C72" s="8">
        <v>9.66</v>
      </c>
    </row>
    <row r="73" spans="1:3" x14ac:dyDescent="0.2">
      <c r="A73" s="6">
        <v>0.555150462962963</v>
      </c>
      <c r="B73" s="7">
        <v>72</v>
      </c>
      <c r="C73" s="8">
        <v>7.71</v>
      </c>
    </row>
    <row r="74" spans="1:3" x14ac:dyDescent="0.2">
      <c r="A74" s="6">
        <v>0.55516203703703704</v>
      </c>
      <c r="B74" s="7">
        <v>73</v>
      </c>
      <c r="C74" s="8">
        <v>4.42</v>
      </c>
    </row>
    <row r="75" spans="1:3" x14ac:dyDescent="0.2">
      <c r="A75" s="6">
        <v>0.55517361111111108</v>
      </c>
      <c r="B75" s="7">
        <v>74</v>
      </c>
      <c r="C75" s="8">
        <v>3.63</v>
      </c>
    </row>
    <row r="76" spans="1:3" x14ac:dyDescent="0.2">
      <c r="A76" s="6">
        <v>0.55518518518518511</v>
      </c>
      <c r="B76" s="7">
        <v>75</v>
      </c>
      <c r="C76" s="8">
        <v>3.39</v>
      </c>
    </row>
    <row r="77" spans="1:3" x14ac:dyDescent="0.2">
      <c r="A77" s="6">
        <v>0.55518518518518511</v>
      </c>
      <c r="B77" s="7">
        <v>76</v>
      </c>
      <c r="C77" s="8">
        <v>3.17</v>
      </c>
    </row>
    <row r="78" spans="1:3" x14ac:dyDescent="0.2">
      <c r="A78" s="6">
        <v>0.55519675925925926</v>
      </c>
      <c r="B78" s="7">
        <v>77</v>
      </c>
      <c r="C78" s="8">
        <v>3.02</v>
      </c>
    </row>
    <row r="79" spans="1:3" x14ac:dyDescent="0.2">
      <c r="A79" s="6">
        <v>0.5552083333333333</v>
      </c>
      <c r="B79" s="7">
        <v>78</v>
      </c>
      <c r="C79" s="8">
        <v>2.89</v>
      </c>
    </row>
    <row r="80" spans="1:3" x14ac:dyDescent="0.2">
      <c r="A80" s="6">
        <v>0.55523148148148149</v>
      </c>
      <c r="B80" s="7">
        <v>79</v>
      </c>
      <c r="C80" s="8">
        <v>2.77</v>
      </c>
    </row>
    <row r="81" spans="1:3" x14ac:dyDescent="0.2">
      <c r="A81" s="6">
        <v>0.55524305555555553</v>
      </c>
      <c r="B81" s="7">
        <v>80</v>
      </c>
      <c r="C81" s="8">
        <v>2.68</v>
      </c>
    </row>
    <row r="82" spans="1:3" x14ac:dyDescent="0.2">
      <c r="A82" s="6">
        <v>0.55526620370370372</v>
      </c>
      <c r="B82" s="7">
        <v>81</v>
      </c>
      <c r="C82" s="8">
        <v>2.59</v>
      </c>
    </row>
    <row r="83" spans="1:3" x14ac:dyDescent="0.2">
      <c r="A83" s="6">
        <v>0.55526620370370372</v>
      </c>
      <c r="B83" s="7">
        <v>82</v>
      </c>
      <c r="C83" s="8">
        <v>2.5099999999999998</v>
      </c>
    </row>
    <row r="84" spans="1:3" x14ac:dyDescent="0.2">
      <c r="A84" s="6">
        <v>0.55527777777777776</v>
      </c>
      <c r="B84" s="7">
        <v>83</v>
      </c>
      <c r="C84" s="8">
        <v>2.4300000000000002</v>
      </c>
    </row>
    <row r="85" spans="1:3" x14ac:dyDescent="0.2">
      <c r="A85" s="6">
        <v>0.55528935185185191</v>
      </c>
      <c r="B85" s="7">
        <v>84</v>
      </c>
      <c r="C85" s="8">
        <v>2.38</v>
      </c>
    </row>
    <row r="86" spans="1:3" x14ac:dyDescent="0.2">
      <c r="A86" s="6">
        <v>0.55530092592592595</v>
      </c>
      <c r="B86" s="7">
        <v>85</v>
      </c>
      <c r="C86" s="8">
        <v>2.2799999999999998</v>
      </c>
    </row>
    <row r="87" spans="1:3" x14ac:dyDescent="0.2">
      <c r="A87" s="6">
        <v>0.55531249999999999</v>
      </c>
      <c r="B87" s="7">
        <v>86</v>
      </c>
      <c r="C87" s="8">
        <v>2.21</v>
      </c>
    </row>
    <row r="88" spans="1:3" x14ac:dyDescent="0.2">
      <c r="A88" s="6">
        <v>0.55532407407407403</v>
      </c>
      <c r="B88" s="7">
        <v>87</v>
      </c>
      <c r="C88" s="8">
        <v>2.14</v>
      </c>
    </row>
    <row r="89" spans="1:3" x14ac:dyDescent="0.2">
      <c r="A89" s="6">
        <v>0.55534722222222221</v>
      </c>
      <c r="B89" s="7">
        <v>88</v>
      </c>
      <c r="C89" s="8">
        <v>2.06</v>
      </c>
    </row>
    <row r="90" spans="1:3" x14ac:dyDescent="0.2">
      <c r="A90" s="6">
        <v>0.55534722222222221</v>
      </c>
      <c r="B90" s="7">
        <v>89</v>
      </c>
      <c r="C90" s="8">
        <v>2.04</v>
      </c>
    </row>
    <row r="91" spans="1:3" x14ac:dyDescent="0.2">
      <c r="A91" s="6">
        <v>0.55535879629629636</v>
      </c>
      <c r="B91" s="7">
        <v>90</v>
      </c>
      <c r="C91" s="8">
        <v>1.92</v>
      </c>
    </row>
    <row r="92" spans="1:3" x14ac:dyDescent="0.2">
      <c r="A92" s="6">
        <v>0.5553703703703704</v>
      </c>
      <c r="B92" s="7">
        <v>91</v>
      </c>
      <c r="C92" s="8">
        <v>1.84</v>
      </c>
    </row>
    <row r="93" spans="1:3" x14ac:dyDescent="0.2">
      <c r="A93" s="6">
        <v>0.55538194444444444</v>
      </c>
      <c r="B93" s="7">
        <v>92</v>
      </c>
      <c r="C93" s="8">
        <v>1.79</v>
      </c>
    </row>
    <row r="94" spans="1:3" x14ac:dyDescent="0.2">
      <c r="A94" s="6">
        <v>0.55538194444444444</v>
      </c>
      <c r="B94" s="7">
        <v>93</v>
      </c>
      <c r="C94" s="8">
        <v>1.74</v>
      </c>
    </row>
    <row r="95" spans="1:3" x14ac:dyDescent="0.2">
      <c r="A95" s="6">
        <v>0.55539351851851848</v>
      </c>
      <c r="B95" s="7">
        <v>94</v>
      </c>
      <c r="C95" s="8">
        <v>1.68</v>
      </c>
    </row>
    <row r="96" spans="1:3" x14ac:dyDescent="0.2">
      <c r="A96" s="6">
        <v>0.55539351851851848</v>
      </c>
      <c r="B96" s="7">
        <v>95</v>
      </c>
      <c r="C96" s="8">
        <v>1.61</v>
      </c>
    </row>
    <row r="97" spans="1:3" x14ac:dyDescent="0.2">
      <c r="A97" s="6">
        <v>0.55540509259259263</v>
      </c>
      <c r="B97" s="7">
        <v>96</v>
      </c>
      <c r="C97" s="8">
        <v>1.47</v>
      </c>
    </row>
    <row r="98" spans="1:3" x14ac:dyDescent="0.2">
      <c r="A98" s="6">
        <v>0.55541666666666667</v>
      </c>
      <c r="B98" s="7">
        <v>97</v>
      </c>
      <c r="C98" s="8">
        <v>1.41</v>
      </c>
    </row>
    <row r="99" spans="1:3" x14ac:dyDescent="0.2">
      <c r="A99" s="6">
        <v>0.55541666666666667</v>
      </c>
      <c r="B99" s="7">
        <v>98</v>
      </c>
      <c r="C99" s="8">
        <v>1.33</v>
      </c>
    </row>
    <row r="100" spans="1:3" x14ac:dyDescent="0.2">
      <c r="A100" s="6">
        <v>0.55542824074074071</v>
      </c>
      <c r="B100" s="7">
        <v>99</v>
      </c>
      <c r="C100" s="8">
        <v>1.23</v>
      </c>
    </row>
    <row r="101" spans="1:3" x14ac:dyDescent="0.2">
      <c r="A101" s="6">
        <v>0.55542824074074071</v>
      </c>
      <c r="B101" s="7">
        <v>100</v>
      </c>
      <c r="C101" s="8">
        <v>1.17</v>
      </c>
    </row>
    <row r="102" spans="1:3" x14ac:dyDescent="0.2">
      <c r="A102" s="6">
        <v>0.55543981481481486</v>
      </c>
      <c r="B102" s="7">
        <v>101</v>
      </c>
      <c r="C102" s="8">
        <v>1.08</v>
      </c>
    </row>
    <row r="103" spans="1:3" x14ac:dyDescent="0.2">
      <c r="A103" s="6">
        <v>0.55543981481481486</v>
      </c>
      <c r="B103" s="7">
        <v>102</v>
      </c>
      <c r="C103" s="8">
        <v>1.01</v>
      </c>
    </row>
    <row r="104" spans="1:3" x14ac:dyDescent="0.2">
      <c r="A104" s="6">
        <v>0.5554513888888889</v>
      </c>
      <c r="B104" s="7">
        <v>103</v>
      </c>
      <c r="C104" s="8">
        <v>0.94</v>
      </c>
    </row>
    <row r="105" spans="1:3" x14ac:dyDescent="0.2">
      <c r="A105" s="6">
        <v>0.55546296296296294</v>
      </c>
      <c r="B105" s="7">
        <v>104</v>
      </c>
      <c r="C105" s="8">
        <v>0.88</v>
      </c>
    </row>
    <row r="106" spans="1:3" x14ac:dyDescent="0.2">
      <c r="A106" s="6">
        <v>0.55546296296296294</v>
      </c>
      <c r="B106" s="7">
        <v>105</v>
      </c>
      <c r="C106" s="8">
        <v>0.8</v>
      </c>
    </row>
    <row r="107" spans="1:3" x14ac:dyDescent="0.2">
      <c r="A107" s="6">
        <v>0.55547453703703698</v>
      </c>
      <c r="B107" s="7">
        <v>106</v>
      </c>
      <c r="C107" s="8">
        <v>0.76</v>
      </c>
    </row>
    <row r="108" spans="1:3" x14ac:dyDescent="0.2">
      <c r="A108" s="6">
        <v>0.55547453703703698</v>
      </c>
      <c r="B108" s="7">
        <v>107</v>
      </c>
      <c r="C108" s="8">
        <v>0.72</v>
      </c>
    </row>
    <row r="109" spans="1:3" x14ac:dyDescent="0.2">
      <c r="A109" s="6">
        <v>0.55547453703703698</v>
      </c>
      <c r="B109" s="7">
        <v>108</v>
      </c>
      <c r="C109" s="8">
        <v>0.67</v>
      </c>
    </row>
    <row r="110" spans="1:3" x14ac:dyDescent="0.2">
      <c r="A110" s="6">
        <v>0.55548611111111112</v>
      </c>
      <c r="B110" s="7">
        <v>109</v>
      </c>
      <c r="C110" s="8">
        <v>0.63</v>
      </c>
    </row>
    <row r="111" spans="1:3" x14ac:dyDescent="0.2">
      <c r="A111" s="6">
        <v>0.55548611111111112</v>
      </c>
      <c r="B111" s="7">
        <v>110</v>
      </c>
      <c r="C111" s="8">
        <v>0.59</v>
      </c>
    </row>
    <row r="112" spans="1:3" x14ac:dyDescent="0.2">
      <c r="A112" s="6">
        <v>0.55548611111111112</v>
      </c>
      <c r="B112" s="7">
        <v>111</v>
      </c>
      <c r="C112" s="8">
        <v>0.55000000000000004</v>
      </c>
    </row>
    <row r="113" spans="1:3" x14ac:dyDescent="0.2">
      <c r="A113" s="6">
        <v>0.55549768518518516</v>
      </c>
      <c r="B113" s="7">
        <v>112</v>
      </c>
      <c r="C113" s="8">
        <v>0.5</v>
      </c>
    </row>
    <row r="114" spans="1:3" x14ac:dyDescent="0.2">
      <c r="A114" s="6">
        <v>0.55549768518518516</v>
      </c>
      <c r="B114" s="7">
        <v>113</v>
      </c>
      <c r="C114" s="8">
        <v>0.52</v>
      </c>
    </row>
    <row r="115" spans="1:3" x14ac:dyDescent="0.2">
      <c r="A115" s="6">
        <v>0.55550925925925931</v>
      </c>
      <c r="B115" s="7">
        <v>114</v>
      </c>
      <c r="C115" s="8">
        <v>0.47</v>
      </c>
    </row>
    <row r="116" spans="1:3" x14ac:dyDescent="0.2">
      <c r="A116" s="6">
        <v>0.55550925925925931</v>
      </c>
      <c r="B116" s="7">
        <v>115</v>
      </c>
      <c r="C116" s="8">
        <v>0.42</v>
      </c>
    </row>
    <row r="117" spans="1:3" x14ac:dyDescent="0.2">
      <c r="A117" s="6">
        <v>0.55552083333333335</v>
      </c>
      <c r="B117" s="7">
        <v>116</v>
      </c>
      <c r="C117" s="8">
        <v>0.38</v>
      </c>
    </row>
    <row r="118" spans="1:3" x14ac:dyDescent="0.2">
      <c r="A118" s="6">
        <v>0.55552083333333335</v>
      </c>
      <c r="B118" s="7">
        <v>117</v>
      </c>
      <c r="C118" s="8">
        <v>0.36</v>
      </c>
    </row>
    <row r="119" spans="1:3" x14ac:dyDescent="0.2">
      <c r="A119" s="6">
        <v>0.55552083333333335</v>
      </c>
      <c r="B119" s="7">
        <v>118</v>
      </c>
      <c r="C119" s="8">
        <v>0.31</v>
      </c>
    </row>
    <row r="120" spans="1:3" x14ac:dyDescent="0.2">
      <c r="A120" s="6">
        <v>0.55553240740740739</v>
      </c>
      <c r="B120" s="7">
        <v>119</v>
      </c>
      <c r="C120" s="8">
        <v>0.21</v>
      </c>
    </row>
    <row r="121" spans="1:3" x14ac:dyDescent="0.2">
      <c r="A121" s="6">
        <v>0.55554398148148143</v>
      </c>
      <c r="B121" s="7">
        <v>120</v>
      </c>
      <c r="C121" s="8">
        <v>0.18</v>
      </c>
    </row>
    <row r="122" spans="1:3" x14ac:dyDescent="0.2">
      <c r="A122" s="6">
        <v>0.55554398148148143</v>
      </c>
      <c r="B122" s="7">
        <v>121</v>
      </c>
      <c r="C122" s="8">
        <v>0.16</v>
      </c>
    </row>
    <row r="123" spans="1:3" x14ac:dyDescent="0.2">
      <c r="A123" s="6">
        <v>0.55554398148148143</v>
      </c>
      <c r="B123" s="7">
        <v>122</v>
      </c>
      <c r="C123" s="8">
        <v>0.12</v>
      </c>
    </row>
    <row r="124" spans="1:3" x14ac:dyDescent="0.2">
      <c r="A124" s="6">
        <v>0.55555555555555558</v>
      </c>
      <c r="B124" s="7">
        <v>123</v>
      </c>
      <c r="C124" s="8">
        <v>0.09</v>
      </c>
    </row>
    <row r="125" spans="1:3" x14ac:dyDescent="0.2">
      <c r="A125" s="6">
        <v>0.55565972222222226</v>
      </c>
      <c r="B125" s="7">
        <v>124</v>
      </c>
      <c r="C125" s="8">
        <v>7.0000000000000007E-2</v>
      </c>
    </row>
    <row r="126" spans="1:3" x14ac:dyDescent="0.2">
      <c r="A126" s="6">
        <v>0.55565972222222226</v>
      </c>
      <c r="B126" s="7">
        <v>125</v>
      </c>
      <c r="C126" s="8">
        <v>7.0000000000000007E-2</v>
      </c>
    </row>
    <row r="127" spans="1:3" x14ac:dyDescent="0.2">
      <c r="A127" s="6">
        <v>0.5556712962962963</v>
      </c>
      <c r="B127" s="7">
        <v>126</v>
      </c>
      <c r="C127" s="8">
        <v>0.05</v>
      </c>
    </row>
    <row r="128" spans="1:3" x14ac:dyDescent="0.2">
      <c r="A128" s="6">
        <v>0.5556712962962963</v>
      </c>
      <c r="B128" s="7">
        <v>127</v>
      </c>
      <c r="C128" s="8">
        <v>0.04</v>
      </c>
    </row>
    <row r="129" spans="1:3" x14ac:dyDescent="0.2">
      <c r="A129" s="6">
        <v>0.5556712962962963</v>
      </c>
      <c r="B129" s="7">
        <v>128</v>
      </c>
      <c r="C129" s="8">
        <v>0.03</v>
      </c>
    </row>
    <row r="130" spans="1:3" x14ac:dyDescent="0.2">
      <c r="A130" s="6">
        <v>0.5556712962962963</v>
      </c>
      <c r="B130" s="7">
        <v>129</v>
      </c>
      <c r="C130" s="8">
        <v>0.02</v>
      </c>
    </row>
    <row r="131" spans="1:3" x14ac:dyDescent="0.2">
      <c r="A131" s="6">
        <v>0.5556712962962963</v>
      </c>
      <c r="B131" s="7">
        <v>130</v>
      </c>
      <c r="C131" s="8">
        <v>0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N28"/>
  <sheetViews>
    <sheetView tabSelected="1" workbookViewId="0">
      <selection activeCell="C8" sqref="C8"/>
    </sheetView>
  </sheetViews>
  <sheetFormatPr defaultRowHeight="12.75" x14ac:dyDescent="0.2"/>
  <cols>
    <col min="1" max="1" width="49.28515625" customWidth="1"/>
    <col min="2" max="2" width="15.5703125" customWidth="1"/>
    <col min="3" max="3" width="14" customWidth="1"/>
    <col min="4" max="4" width="11.28515625" customWidth="1"/>
  </cols>
  <sheetData>
    <row r="1" spans="1:14" ht="15.75" x14ac:dyDescent="0.25">
      <c r="A1" s="10" t="s">
        <v>2</v>
      </c>
      <c r="B1" s="11" t="s">
        <v>3</v>
      </c>
      <c r="C1" s="12" t="s">
        <v>4</v>
      </c>
      <c r="D1" s="13" t="s">
        <v>5</v>
      </c>
    </row>
    <row r="2" spans="1:14" ht="15.75" x14ac:dyDescent="0.25">
      <c r="A2" s="14" t="s">
        <v>6</v>
      </c>
      <c r="B2" s="15" t="s">
        <v>7</v>
      </c>
      <c r="C2" s="16">
        <v>1</v>
      </c>
      <c r="D2" s="13"/>
    </row>
    <row r="3" spans="1:14" ht="15.75" x14ac:dyDescent="0.25">
      <c r="A3" s="14" t="s">
        <v>8</v>
      </c>
      <c r="B3" s="15" t="s">
        <v>9</v>
      </c>
      <c r="C3" s="16">
        <v>12.58</v>
      </c>
      <c r="D3" s="13" t="s">
        <v>10</v>
      </c>
    </row>
    <row r="4" spans="1:14" ht="15.75" x14ac:dyDescent="0.25">
      <c r="A4" s="14" t="s">
        <v>11</v>
      </c>
      <c r="B4" s="15" t="s">
        <v>12</v>
      </c>
      <c r="C4" s="16">
        <v>20.8</v>
      </c>
      <c r="D4" s="13" t="s">
        <v>10</v>
      </c>
    </row>
    <row r="5" spans="1:14" ht="15.75" x14ac:dyDescent="0.25">
      <c r="A5" s="14" t="s">
        <v>13</v>
      </c>
      <c r="B5" s="15" t="s">
        <v>14</v>
      </c>
      <c r="C5" s="16">
        <v>4.0999999999999996</v>
      </c>
      <c r="D5" s="13" t="s">
        <v>10</v>
      </c>
    </row>
    <row r="6" spans="1:14" ht="15.75" x14ac:dyDescent="0.25">
      <c r="A6" s="14" t="s">
        <v>15</v>
      </c>
      <c r="B6" s="15" t="s">
        <v>16</v>
      </c>
      <c r="C6" s="16">
        <v>2.6</v>
      </c>
      <c r="D6" s="13" t="s">
        <v>10</v>
      </c>
    </row>
    <row r="7" spans="1:14" ht="16.5" thickBot="1" x14ac:dyDescent="0.3">
      <c r="A7" s="17" t="s">
        <v>17</v>
      </c>
      <c r="B7" s="18" t="s">
        <v>18</v>
      </c>
      <c r="C7" s="19">
        <v>5.16</v>
      </c>
      <c r="D7" s="13" t="s">
        <v>10</v>
      </c>
    </row>
    <row r="8" spans="1:14" ht="15.75" x14ac:dyDescent="0.25">
      <c r="A8" s="20" t="s">
        <v>19</v>
      </c>
      <c r="B8" s="11" t="s">
        <v>20</v>
      </c>
      <c r="C8" s="12">
        <f>C7-C6</f>
        <v>2.56</v>
      </c>
      <c r="D8" s="13" t="s">
        <v>10</v>
      </c>
      <c r="E8">
        <f>C8/0.041667</f>
        <v>61.439508483932123</v>
      </c>
    </row>
    <row r="9" spans="1:14" ht="15.75" x14ac:dyDescent="0.25">
      <c r="A9" s="21" t="s">
        <v>21</v>
      </c>
      <c r="B9" s="22"/>
      <c r="C9" s="16">
        <v>3.43</v>
      </c>
      <c r="D9" s="13" t="s">
        <v>10</v>
      </c>
    </row>
    <row r="10" spans="1:14" ht="15.75" x14ac:dyDescent="0.25">
      <c r="A10" s="23" t="s">
        <v>22</v>
      </c>
      <c r="B10" s="22"/>
      <c r="C10" s="16">
        <f>C7-C9</f>
        <v>1.73</v>
      </c>
      <c r="D10" s="13" t="s">
        <v>10</v>
      </c>
    </row>
    <row r="11" spans="1:14" ht="15.75" x14ac:dyDescent="0.25">
      <c r="A11" s="24" t="s">
        <v>23</v>
      </c>
      <c r="B11" s="25" t="s">
        <v>24</v>
      </c>
      <c r="C11" s="26"/>
      <c r="D11" s="27" t="s">
        <v>24</v>
      </c>
    </row>
    <row r="12" spans="1:14" ht="18.75" x14ac:dyDescent="0.35">
      <c r="A12" s="21" t="s">
        <v>25</v>
      </c>
      <c r="B12" s="15" t="s">
        <v>26</v>
      </c>
      <c r="C12" s="16"/>
      <c r="D12" s="13" t="s">
        <v>27</v>
      </c>
      <c r="N12">
        <f>(2.21/15)</f>
        <v>0.14733333333333334</v>
      </c>
    </row>
    <row r="13" spans="1:14" ht="19.5" thickBot="1" x14ac:dyDescent="0.4">
      <c r="A13" s="28" t="s">
        <v>28</v>
      </c>
      <c r="B13" s="29" t="s">
        <v>29</v>
      </c>
      <c r="C13" s="30"/>
      <c r="D13" s="31" t="s">
        <v>27</v>
      </c>
    </row>
    <row r="14" spans="1:14" ht="15.75" x14ac:dyDescent="0.25">
      <c r="A14" s="10" t="s">
        <v>30</v>
      </c>
      <c r="B14" s="32"/>
      <c r="C14" s="33"/>
      <c r="D14" s="34" t="s">
        <v>31</v>
      </c>
    </row>
    <row r="15" spans="1:14" ht="15.75" x14ac:dyDescent="0.25">
      <c r="A15" s="14" t="s">
        <v>32</v>
      </c>
      <c r="B15" s="60" t="s">
        <v>33</v>
      </c>
      <c r="C15" s="13"/>
      <c r="D15" s="35" t="s">
        <v>10</v>
      </c>
    </row>
    <row r="16" spans="1:14" ht="15.75" x14ac:dyDescent="0.25">
      <c r="A16" s="14" t="s">
        <v>34</v>
      </c>
      <c r="B16" s="60"/>
      <c r="C16" s="13"/>
      <c r="D16" s="35" t="s">
        <v>35</v>
      </c>
    </row>
    <row r="17" spans="1:4" ht="15.75" x14ac:dyDescent="0.25">
      <c r="A17" s="14" t="s">
        <v>32</v>
      </c>
      <c r="B17" s="60" t="s">
        <v>36</v>
      </c>
      <c r="C17" s="13"/>
      <c r="D17" s="35" t="s">
        <v>10</v>
      </c>
    </row>
    <row r="18" spans="1:4" ht="15.75" x14ac:dyDescent="0.25">
      <c r="A18" s="14" t="s">
        <v>34</v>
      </c>
      <c r="B18" s="60"/>
      <c r="C18" s="13"/>
      <c r="D18" s="35" t="s">
        <v>35</v>
      </c>
    </row>
    <row r="19" spans="1:4" ht="15.75" x14ac:dyDescent="0.25">
      <c r="A19" s="14" t="s">
        <v>37</v>
      </c>
      <c r="B19" s="36"/>
      <c r="C19" s="13"/>
      <c r="D19" s="35" t="s">
        <v>31</v>
      </c>
    </row>
    <row r="20" spans="1:4" ht="15.75" x14ac:dyDescent="0.25">
      <c r="A20" s="14" t="s">
        <v>38</v>
      </c>
      <c r="B20" s="36"/>
      <c r="C20" s="13"/>
      <c r="D20" s="35"/>
    </row>
    <row r="21" spans="1:4" ht="15.75" x14ac:dyDescent="0.25">
      <c r="A21" s="14" t="s">
        <v>39</v>
      </c>
      <c r="B21" s="36"/>
      <c r="C21" s="13"/>
      <c r="D21" s="35" t="s">
        <v>40</v>
      </c>
    </row>
    <row r="22" spans="1:4" ht="15.75" x14ac:dyDescent="0.25">
      <c r="A22" s="14" t="s">
        <v>41</v>
      </c>
      <c r="B22" s="36"/>
      <c r="C22" s="13"/>
      <c r="D22" s="35" t="s">
        <v>40</v>
      </c>
    </row>
    <row r="23" spans="1:4" ht="15.75" x14ac:dyDescent="0.25">
      <c r="A23" s="14" t="s">
        <v>42</v>
      </c>
      <c r="B23" s="36"/>
      <c r="C23" s="13"/>
      <c r="D23" s="35" t="s">
        <v>40</v>
      </c>
    </row>
    <row r="24" spans="1:4" ht="15.75" x14ac:dyDescent="0.25">
      <c r="A24" s="37" t="s">
        <v>43</v>
      </c>
      <c r="B24" s="38"/>
      <c r="C24" s="27"/>
      <c r="D24" s="39" t="s">
        <v>24</v>
      </c>
    </row>
    <row r="25" spans="1:4" ht="15.75" x14ac:dyDescent="0.25">
      <c r="A25" s="14" t="s">
        <v>44</v>
      </c>
      <c r="B25" s="36"/>
      <c r="C25" s="13"/>
      <c r="D25" s="35"/>
    </row>
    <row r="26" spans="1:4" ht="15.75" x14ac:dyDescent="0.25">
      <c r="A26" s="14" t="s">
        <v>45</v>
      </c>
      <c r="B26" s="36"/>
      <c r="C26" s="13"/>
      <c r="D26" s="35"/>
    </row>
    <row r="27" spans="1:4" ht="15.75" x14ac:dyDescent="0.25">
      <c r="A27" s="14" t="s">
        <v>46</v>
      </c>
      <c r="B27" s="36"/>
      <c r="C27" s="13"/>
      <c r="D27" s="35"/>
    </row>
    <row r="28" spans="1:4" ht="16.5" thickBot="1" x14ac:dyDescent="0.3">
      <c r="A28" s="40" t="s">
        <v>47</v>
      </c>
      <c r="B28" s="41"/>
      <c r="C28" s="42"/>
      <c r="D28" s="43" t="s">
        <v>24</v>
      </c>
    </row>
  </sheetData>
  <mergeCells count="2">
    <mergeCell ref="B15:B16"/>
    <mergeCell ref="B17:B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Z172"/>
  <sheetViews>
    <sheetView workbookViewId="0">
      <selection activeCell="A70" sqref="A70:A135"/>
    </sheetView>
  </sheetViews>
  <sheetFormatPr defaultRowHeight="12.75" x14ac:dyDescent="0.2"/>
  <cols>
    <col min="1" max="1" width="10.7109375" customWidth="1"/>
    <col min="2" max="2" width="15.5703125" customWidth="1"/>
    <col min="3" max="3" width="14" customWidth="1"/>
    <col min="4" max="4" width="11.28515625" customWidth="1"/>
    <col min="5" max="5" width="14" customWidth="1"/>
    <col min="6" max="6" width="12.28515625" customWidth="1"/>
  </cols>
  <sheetData>
    <row r="1" spans="1:26" ht="31.5" x14ac:dyDescent="0.25">
      <c r="A1" s="44"/>
      <c r="B1" s="45" t="s">
        <v>48</v>
      </c>
      <c r="C1" s="46" t="s">
        <v>49</v>
      </c>
      <c r="D1" s="45" t="s">
        <v>48</v>
      </c>
      <c r="E1" s="47" t="s">
        <v>50</v>
      </c>
      <c r="F1" s="48" t="s">
        <v>51</v>
      </c>
    </row>
    <row r="2" spans="1:26" ht="15.75" x14ac:dyDescent="0.25">
      <c r="A2" s="44">
        <v>0</v>
      </c>
      <c r="B2" s="59"/>
      <c r="C2" s="58">
        <f>B2*10</f>
        <v>0</v>
      </c>
      <c r="D2" s="49"/>
      <c r="E2" s="58"/>
      <c r="F2" s="22"/>
      <c r="Z2">
        <v>9.81</v>
      </c>
    </row>
    <row r="3" spans="1:26" ht="15.75" x14ac:dyDescent="0.25">
      <c r="A3" s="44">
        <f>A2+1</f>
        <v>1</v>
      </c>
      <c r="B3" s="59"/>
      <c r="C3" s="58">
        <f>(Data!C3)*10</f>
        <v>0.4</v>
      </c>
      <c r="D3" s="49"/>
      <c r="E3" s="58"/>
      <c r="F3" s="22"/>
      <c r="Z3">
        <v>9.81</v>
      </c>
    </row>
    <row r="4" spans="1:26" ht="15.75" x14ac:dyDescent="0.25">
      <c r="A4" s="44">
        <f t="shared" ref="A4:A67" si="0">A3+1</f>
        <v>2</v>
      </c>
      <c r="B4" s="59"/>
      <c r="C4" s="58">
        <f>(Data!C4)*10</f>
        <v>0.6</v>
      </c>
      <c r="D4" s="49"/>
      <c r="E4" s="58"/>
      <c r="F4" s="22"/>
      <c r="Z4">
        <v>9.81</v>
      </c>
    </row>
    <row r="5" spans="1:26" ht="15.75" x14ac:dyDescent="0.25">
      <c r="A5" s="44">
        <f t="shared" si="0"/>
        <v>3</v>
      </c>
      <c r="B5" s="59"/>
      <c r="C5" s="58">
        <f>(Data!C5)*10</f>
        <v>0.70000000000000007</v>
      </c>
      <c r="D5" s="49"/>
      <c r="E5" s="58"/>
      <c r="F5" s="22"/>
      <c r="Z5">
        <v>9.81</v>
      </c>
    </row>
    <row r="6" spans="1:26" ht="15.75" x14ac:dyDescent="0.25">
      <c r="A6" s="44">
        <f t="shared" si="0"/>
        <v>4</v>
      </c>
      <c r="B6" s="59"/>
      <c r="C6" s="58">
        <f>(Data!C6)*10</f>
        <v>1.1000000000000001</v>
      </c>
      <c r="D6" s="49"/>
      <c r="E6" s="58"/>
      <c r="F6" s="22"/>
      <c r="Z6">
        <v>9.81</v>
      </c>
    </row>
    <row r="7" spans="1:26" ht="15.75" x14ac:dyDescent="0.25">
      <c r="A7" s="44">
        <f t="shared" si="0"/>
        <v>5</v>
      </c>
      <c r="B7" s="59"/>
      <c r="C7" s="58">
        <f>(Data!C7)*10</f>
        <v>1.5</v>
      </c>
      <c r="D7" s="49"/>
      <c r="E7" s="58"/>
      <c r="F7" s="22"/>
      <c r="Z7">
        <v>9.81</v>
      </c>
    </row>
    <row r="8" spans="1:26" ht="15.75" x14ac:dyDescent="0.25">
      <c r="A8" s="44">
        <f t="shared" si="0"/>
        <v>6</v>
      </c>
      <c r="B8" s="59"/>
      <c r="C8" s="58">
        <f>(Data!C8)*10</f>
        <v>1.9</v>
      </c>
      <c r="D8" s="49"/>
      <c r="E8" s="58"/>
      <c r="F8" s="22"/>
      <c r="Z8">
        <v>9.81</v>
      </c>
    </row>
    <row r="9" spans="1:26" ht="15.75" x14ac:dyDescent="0.25">
      <c r="A9" s="44">
        <f t="shared" si="0"/>
        <v>7</v>
      </c>
      <c r="B9" s="59"/>
      <c r="C9" s="58">
        <f>(Data!C9)*10</f>
        <v>2.3000000000000003</v>
      </c>
      <c r="D9" s="49"/>
      <c r="E9" s="58"/>
      <c r="F9" s="22"/>
      <c r="Z9">
        <v>9.81</v>
      </c>
    </row>
    <row r="10" spans="1:26" ht="15.75" x14ac:dyDescent="0.25">
      <c r="A10" s="44">
        <f t="shared" si="0"/>
        <v>8</v>
      </c>
      <c r="B10" s="59"/>
      <c r="C10" s="58">
        <f>(Data!C10)*10</f>
        <v>2.6</v>
      </c>
      <c r="D10" s="49"/>
      <c r="E10" s="58"/>
      <c r="F10" s="22"/>
      <c r="Z10">
        <v>9.81</v>
      </c>
    </row>
    <row r="11" spans="1:26" ht="15.75" x14ac:dyDescent="0.25">
      <c r="A11" s="44">
        <f t="shared" si="0"/>
        <v>9</v>
      </c>
      <c r="B11" s="59"/>
      <c r="C11" s="58">
        <f>(Data!C11)*10</f>
        <v>3.1</v>
      </c>
      <c r="D11" s="49"/>
      <c r="E11" s="58"/>
      <c r="F11" s="22"/>
      <c r="Z11">
        <v>9.81</v>
      </c>
    </row>
    <row r="12" spans="1:26" ht="15.75" x14ac:dyDescent="0.25">
      <c r="A12" s="44">
        <f t="shared" si="0"/>
        <v>10</v>
      </c>
      <c r="B12" s="59"/>
      <c r="C12" s="58">
        <f>(Data!C12)*10</f>
        <v>3.3000000000000003</v>
      </c>
      <c r="D12" s="49"/>
      <c r="E12" s="58"/>
      <c r="F12" s="22"/>
      <c r="Z12">
        <v>9.81</v>
      </c>
    </row>
    <row r="13" spans="1:26" ht="15.75" x14ac:dyDescent="0.25">
      <c r="A13" s="44">
        <f t="shared" si="0"/>
        <v>11</v>
      </c>
      <c r="B13" s="59"/>
      <c r="C13" s="58">
        <f>(Data!C13)*10</f>
        <v>3.5</v>
      </c>
      <c r="D13" s="49"/>
      <c r="E13" s="58"/>
      <c r="F13" s="22"/>
      <c r="Z13">
        <v>9.81</v>
      </c>
    </row>
    <row r="14" spans="1:26" ht="15.75" x14ac:dyDescent="0.25">
      <c r="A14" s="44">
        <f t="shared" si="0"/>
        <v>12</v>
      </c>
      <c r="B14" s="59"/>
      <c r="C14" s="58">
        <f>(Data!C14)*10</f>
        <v>3.9000000000000004</v>
      </c>
      <c r="D14" s="49"/>
      <c r="E14" s="58"/>
      <c r="F14" s="22"/>
      <c r="Z14">
        <v>9.81</v>
      </c>
    </row>
    <row r="15" spans="1:26" ht="15.75" x14ac:dyDescent="0.25">
      <c r="A15" s="44">
        <f t="shared" si="0"/>
        <v>13</v>
      </c>
      <c r="B15" s="59"/>
      <c r="C15" s="58">
        <f>(Data!C15)*10</f>
        <v>4.6999999999999993</v>
      </c>
      <c r="D15" s="49"/>
      <c r="E15" s="58"/>
      <c r="F15" s="22"/>
      <c r="Z15">
        <v>9.81</v>
      </c>
    </row>
    <row r="16" spans="1:26" ht="15.75" x14ac:dyDescent="0.25">
      <c r="A16" s="44">
        <f t="shared" si="0"/>
        <v>14</v>
      </c>
      <c r="B16" s="59"/>
      <c r="C16" s="58">
        <f>(Data!C16)*10</f>
        <v>5.4</v>
      </c>
      <c r="D16" s="49"/>
      <c r="E16" s="58"/>
      <c r="F16" s="22"/>
      <c r="Z16">
        <v>9.81</v>
      </c>
    </row>
    <row r="17" spans="1:26" ht="15.75" x14ac:dyDescent="0.25">
      <c r="A17" s="44">
        <f t="shared" si="0"/>
        <v>15</v>
      </c>
      <c r="B17" s="59"/>
      <c r="C17" s="58">
        <f>(Data!C17)*10</f>
        <v>6.8999999999999995</v>
      </c>
      <c r="D17" s="49"/>
      <c r="E17" s="58"/>
      <c r="F17" s="22"/>
      <c r="Z17">
        <v>9.81</v>
      </c>
    </row>
    <row r="18" spans="1:26" ht="15.75" x14ac:dyDescent="0.25">
      <c r="A18" s="44">
        <f t="shared" si="0"/>
        <v>16</v>
      </c>
      <c r="B18" s="59"/>
      <c r="C18" s="58">
        <f>(Data!C18)*10</f>
        <v>7.5</v>
      </c>
      <c r="D18" s="49"/>
      <c r="E18" s="58"/>
      <c r="F18" s="22"/>
      <c r="Z18">
        <v>9.81</v>
      </c>
    </row>
    <row r="19" spans="1:26" ht="15.75" x14ac:dyDescent="0.25">
      <c r="A19" s="44">
        <f t="shared" si="0"/>
        <v>17</v>
      </c>
      <c r="B19" s="59"/>
      <c r="C19" s="58">
        <f>(Data!C19)*10</f>
        <v>8.1999999999999993</v>
      </c>
      <c r="D19" s="49"/>
      <c r="E19" s="58"/>
      <c r="F19" s="22"/>
      <c r="Z19">
        <v>9.81</v>
      </c>
    </row>
    <row r="20" spans="1:26" ht="15.75" x14ac:dyDescent="0.25">
      <c r="A20" s="44">
        <f t="shared" si="0"/>
        <v>18</v>
      </c>
      <c r="B20" s="59"/>
      <c r="C20" s="58">
        <f>(Data!C20)*10</f>
        <v>8.9</v>
      </c>
      <c r="D20" s="49"/>
      <c r="E20" s="58"/>
      <c r="F20" s="22"/>
      <c r="Z20">
        <v>9.81</v>
      </c>
    </row>
    <row r="21" spans="1:26" ht="15.75" x14ac:dyDescent="0.25">
      <c r="A21" s="44">
        <f t="shared" si="0"/>
        <v>19</v>
      </c>
      <c r="B21" s="59"/>
      <c r="C21" s="58">
        <f>(Data!C21)*10</f>
        <v>9.3999999999999986</v>
      </c>
      <c r="D21" s="49"/>
      <c r="E21" s="58"/>
      <c r="F21" s="22"/>
      <c r="Z21">
        <v>9.81</v>
      </c>
    </row>
    <row r="22" spans="1:26" ht="15.75" x14ac:dyDescent="0.25">
      <c r="A22" s="44">
        <f t="shared" si="0"/>
        <v>20</v>
      </c>
      <c r="B22" s="59"/>
      <c r="C22" s="58">
        <f>(Data!C22)*10</f>
        <v>10.1</v>
      </c>
      <c r="D22" s="49"/>
      <c r="E22" s="58"/>
      <c r="F22" s="22"/>
      <c r="Z22">
        <v>9.81</v>
      </c>
    </row>
    <row r="23" spans="1:26" ht="15.75" x14ac:dyDescent="0.25">
      <c r="A23" s="44">
        <f t="shared" si="0"/>
        <v>21</v>
      </c>
      <c r="B23" s="59"/>
      <c r="C23" s="58">
        <f>(Data!C23)*10</f>
        <v>10.600000000000001</v>
      </c>
      <c r="D23" s="49"/>
      <c r="E23" s="58"/>
      <c r="F23" s="22"/>
      <c r="Z23">
        <v>9.81</v>
      </c>
    </row>
    <row r="24" spans="1:26" ht="15.75" x14ac:dyDescent="0.25">
      <c r="A24" s="44">
        <f t="shared" si="0"/>
        <v>22</v>
      </c>
      <c r="B24" s="59"/>
      <c r="C24" s="58">
        <f>(Data!C24)*10</f>
        <v>11.399999999999999</v>
      </c>
      <c r="D24" s="49"/>
      <c r="E24" s="58"/>
      <c r="F24" s="22"/>
      <c r="Z24">
        <v>9.81</v>
      </c>
    </row>
    <row r="25" spans="1:26" ht="15.75" x14ac:dyDescent="0.25">
      <c r="A25" s="44">
        <f t="shared" si="0"/>
        <v>23</v>
      </c>
      <c r="B25" s="59"/>
      <c r="C25" s="58">
        <f>(Data!C25)*10</f>
        <v>12</v>
      </c>
      <c r="D25" s="49"/>
      <c r="E25" s="58"/>
      <c r="F25" s="22"/>
      <c r="Z25">
        <v>9.81</v>
      </c>
    </row>
    <row r="26" spans="1:26" ht="15.75" x14ac:dyDescent="0.25">
      <c r="A26" s="44">
        <f t="shared" si="0"/>
        <v>24</v>
      </c>
      <c r="B26" s="59"/>
      <c r="C26" s="58">
        <f>(Data!C26)*10</f>
        <v>12.8</v>
      </c>
      <c r="D26" s="49"/>
      <c r="E26" s="58"/>
      <c r="F26" s="22"/>
      <c r="Z26">
        <v>9.81</v>
      </c>
    </row>
    <row r="27" spans="1:26" ht="15.75" x14ac:dyDescent="0.25">
      <c r="A27" s="44">
        <f t="shared" si="0"/>
        <v>25</v>
      </c>
      <c r="B27" s="59"/>
      <c r="C27" s="58">
        <f>(Data!C27)*10</f>
        <v>13.3</v>
      </c>
      <c r="D27" s="49"/>
      <c r="E27" s="58"/>
      <c r="F27" s="22"/>
      <c r="Z27">
        <v>9.81</v>
      </c>
    </row>
    <row r="28" spans="1:26" ht="15.75" x14ac:dyDescent="0.25">
      <c r="A28" s="44">
        <f t="shared" si="0"/>
        <v>26</v>
      </c>
      <c r="B28" s="59"/>
      <c r="C28" s="58">
        <f>(Data!C28)*10</f>
        <v>13.3</v>
      </c>
      <c r="D28" s="49"/>
      <c r="E28" s="58"/>
      <c r="F28" s="22"/>
      <c r="Z28">
        <v>9.81</v>
      </c>
    </row>
    <row r="29" spans="1:26" ht="15.75" x14ac:dyDescent="0.25">
      <c r="A29" s="44">
        <f t="shared" si="0"/>
        <v>27</v>
      </c>
      <c r="B29" s="59"/>
      <c r="C29" s="58">
        <f>(Data!C29)*10</f>
        <v>13.799999999999999</v>
      </c>
      <c r="D29" s="49"/>
      <c r="E29" s="58"/>
      <c r="F29" s="22"/>
      <c r="Z29">
        <v>9.81</v>
      </c>
    </row>
    <row r="30" spans="1:26" ht="15.75" x14ac:dyDescent="0.25">
      <c r="A30" s="44">
        <f t="shared" si="0"/>
        <v>28</v>
      </c>
      <c r="B30" s="59"/>
      <c r="C30" s="58">
        <f>(Data!C30)*10</f>
        <v>14.1</v>
      </c>
      <c r="D30" s="49"/>
      <c r="E30" s="58"/>
      <c r="F30" s="22"/>
      <c r="Z30">
        <v>9.81</v>
      </c>
    </row>
    <row r="31" spans="1:26" ht="15.75" x14ac:dyDescent="0.25">
      <c r="A31" s="44">
        <f t="shared" si="0"/>
        <v>29</v>
      </c>
      <c r="B31" s="59"/>
      <c r="C31" s="58">
        <f>(Data!C31)*10</f>
        <v>14.7</v>
      </c>
      <c r="D31" s="49"/>
      <c r="E31" s="58"/>
      <c r="F31" s="22"/>
      <c r="Z31">
        <v>9.81</v>
      </c>
    </row>
    <row r="32" spans="1:26" ht="15.75" x14ac:dyDescent="0.25">
      <c r="A32" s="44">
        <f t="shared" si="0"/>
        <v>30</v>
      </c>
      <c r="B32" s="59"/>
      <c r="C32" s="58">
        <f>(Data!C32)*10</f>
        <v>15.3</v>
      </c>
      <c r="D32" s="49"/>
      <c r="E32" s="58"/>
      <c r="F32" s="22"/>
      <c r="Z32">
        <v>9.81</v>
      </c>
    </row>
    <row r="33" spans="1:26" ht="15.75" x14ac:dyDescent="0.25">
      <c r="A33" s="44">
        <f t="shared" si="0"/>
        <v>31</v>
      </c>
      <c r="B33" s="59"/>
      <c r="C33" s="58">
        <f>(Data!C33)*10</f>
        <v>16.399999999999999</v>
      </c>
      <c r="D33" s="49"/>
      <c r="E33" s="58"/>
      <c r="F33" s="22"/>
      <c r="Z33">
        <v>9.81</v>
      </c>
    </row>
    <row r="34" spans="1:26" ht="15.75" x14ac:dyDescent="0.25">
      <c r="A34" s="44">
        <f t="shared" si="0"/>
        <v>32</v>
      </c>
      <c r="B34" s="59"/>
      <c r="C34" s="58">
        <f>(Data!C34)*10</f>
        <v>17.2</v>
      </c>
      <c r="D34" s="49"/>
      <c r="E34" s="58"/>
      <c r="F34" s="22"/>
      <c r="Z34">
        <v>9.81</v>
      </c>
    </row>
    <row r="35" spans="1:26" ht="15.75" x14ac:dyDescent="0.25">
      <c r="A35" s="44">
        <f t="shared" si="0"/>
        <v>33</v>
      </c>
      <c r="B35" s="59"/>
      <c r="C35" s="58">
        <f>(Data!C35)*10</f>
        <v>18.400000000000002</v>
      </c>
      <c r="D35" s="49"/>
      <c r="E35" s="58"/>
      <c r="F35" s="22"/>
      <c r="Z35">
        <v>9.81</v>
      </c>
    </row>
    <row r="36" spans="1:26" ht="15.75" x14ac:dyDescent="0.25">
      <c r="A36" s="44">
        <f t="shared" si="0"/>
        <v>34</v>
      </c>
      <c r="B36" s="59"/>
      <c r="C36" s="58">
        <f>(Data!C36)*10</f>
        <v>19.3</v>
      </c>
      <c r="D36" s="49"/>
      <c r="E36" s="58"/>
      <c r="F36" s="22"/>
      <c r="Z36">
        <v>9.81</v>
      </c>
    </row>
    <row r="37" spans="1:26" ht="15.75" x14ac:dyDescent="0.25">
      <c r="A37" s="44">
        <f t="shared" si="0"/>
        <v>35</v>
      </c>
      <c r="B37" s="59"/>
      <c r="C37" s="58">
        <f>(Data!C37)*10</f>
        <v>20.299999999999997</v>
      </c>
      <c r="D37" s="49"/>
      <c r="E37" s="58"/>
      <c r="F37" s="22"/>
      <c r="Z37">
        <v>9.81</v>
      </c>
    </row>
    <row r="38" spans="1:26" ht="15.75" x14ac:dyDescent="0.25">
      <c r="A38" s="44">
        <f t="shared" si="0"/>
        <v>36</v>
      </c>
      <c r="B38" s="59"/>
      <c r="C38" s="58">
        <f>(Data!C38)*10</f>
        <v>21.200000000000003</v>
      </c>
      <c r="D38" s="49"/>
      <c r="E38" s="58"/>
      <c r="F38" s="54"/>
      <c r="Z38">
        <v>9.81</v>
      </c>
    </row>
    <row r="39" spans="1:26" ht="15.75" x14ac:dyDescent="0.25">
      <c r="A39" s="44">
        <f t="shared" si="0"/>
        <v>37</v>
      </c>
      <c r="B39" s="59"/>
      <c r="C39" s="58">
        <f>(Data!C39)*10</f>
        <v>22.1</v>
      </c>
      <c r="D39" s="49"/>
      <c r="E39" s="58"/>
      <c r="F39" s="22"/>
      <c r="Z39">
        <v>9.81</v>
      </c>
    </row>
    <row r="40" spans="1:26" ht="15.75" x14ac:dyDescent="0.25">
      <c r="A40" s="44">
        <f t="shared" si="0"/>
        <v>38</v>
      </c>
      <c r="B40" s="59"/>
      <c r="C40" s="58">
        <f>(Data!C40)*10</f>
        <v>23.3</v>
      </c>
      <c r="D40" s="49"/>
      <c r="E40" s="58"/>
      <c r="F40" s="22"/>
      <c r="Z40">
        <v>9.81</v>
      </c>
    </row>
    <row r="41" spans="1:26" ht="15.75" x14ac:dyDescent="0.25">
      <c r="A41" s="44">
        <f t="shared" si="0"/>
        <v>39</v>
      </c>
      <c r="B41" s="59"/>
      <c r="C41" s="58">
        <f>(Data!C41)*10</f>
        <v>24</v>
      </c>
      <c r="D41" s="49"/>
      <c r="E41" s="58"/>
      <c r="F41" s="22"/>
      <c r="Z41">
        <v>9.81</v>
      </c>
    </row>
    <row r="42" spans="1:26" ht="15.75" x14ac:dyDescent="0.25">
      <c r="A42" s="44">
        <f t="shared" si="0"/>
        <v>40</v>
      </c>
      <c r="B42" s="59"/>
      <c r="C42" s="58">
        <f>(Data!C42)*10</f>
        <v>25.099999999999998</v>
      </c>
      <c r="D42" s="49"/>
      <c r="E42" s="58"/>
      <c r="F42" s="54"/>
      <c r="Z42">
        <v>9.81</v>
      </c>
    </row>
    <row r="43" spans="1:26" ht="15.75" x14ac:dyDescent="0.25">
      <c r="A43" s="44">
        <f t="shared" si="0"/>
        <v>41</v>
      </c>
      <c r="B43" s="59"/>
      <c r="C43" s="58">
        <f>(Data!C43)*10</f>
        <v>26</v>
      </c>
      <c r="D43" s="49"/>
      <c r="E43" s="58"/>
      <c r="F43" s="22"/>
      <c r="Z43">
        <v>9.81</v>
      </c>
    </row>
    <row r="44" spans="1:26" ht="15.75" x14ac:dyDescent="0.25">
      <c r="A44" s="44">
        <f t="shared" si="0"/>
        <v>42</v>
      </c>
      <c r="B44" s="59"/>
      <c r="C44" s="58">
        <f>(Data!C44)*10</f>
        <v>26.8</v>
      </c>
      <c r="D44" s="49"/>
      <c r="E44" s="58"/>
      <c r="F44" s="22"/>
      <c r="Z44">
        <v>9.81</v>
      </c>
    </row>
    <row r="45" spans="1:26" ht="15.75" x14ac:dyDescent="0.25">
      <c r="A45" s="44">
        <f t="shared" si="0"/>
        <v>43</v>
      </c>
      <c r="B45" s="59"/>
      <c r="C45" s="58">
        <f>(Data!C45)*10</f>
        <v>27.3</v>
      </c>
      <c r="D45" s="49"/>
      <c r="E45" s="58"/>
      <c r="F45" s="22"/>
      <c r="Z45">
        <v>9.81</v>
      </c>
    </row>
    <row r="46" spans="1:26" ht="15.75" x14ac:dyDescent="0.25">
      <c r="A46" s="44">
        <f t="shared" si="0"/>
        <v>44</v>
      </c>
      <c r="B46" s="59"/>
      <c r="C46" s="58">
        <f>(Data!C46)*10</f>
        <v>27.9</v>
      </c>
      <c r="D46" s="49"/>
      <c r="E46" s="58"/>
      <c r="F46" s="22"/>
      <c r="Z46">
        <v>9.81</v>
      </c>
    </row>
    <row r="47" spans="1:26" ht="15.75" x14ac:dyDescent="0.25">
      <c r="A47" s="44">
        <f t="shared" si="0"/>
        <v>45</v>
      </c>
      <c r="B47" s="59"/>
      <c r="C47" s="58">
        <f>(Data!C47)*10</f>
        <v>28.4</v>
      </c>
      <c r="D47" s="49"/>
      <c r="E47" s="58"/>
      <c r="F47" s="22"/>
      <c r="Z47">
        <v>9.81</v>
      </c>
    </row>
    <row r="48" spans="1:26" ht="15.75" x14ac:dyDescent="0.25">
      <c r="A48" s="44">
        <f t="shared" si="0"/>
        <v>46</v>
      </c>
      <c r="B48" s="59"/>
      <c r="C48" s="58">
        <f>(Data!C48)*10</f>
        <v>29</v>
      </c>
      <c r="D48" s="49"/>
      <c r="E48" s="58"/>
      <c r="F48" s="22"/>
      <c r="Z48">
        <v>9.81</v>
      </c>
    </row>
    <row r="49" spans="1:26" ht="15.75" x14ac:dyDescent="0.25">
      <c r="A49" s="44">
        <f t="shared" si="0"/>
        <v>47</v>
      </c>
      <c r="B49" s="59"/>
      <c r="C49" s="58">
        <f>(Data!C49)*10</f>
        <v>29.900000000000002</v>
      </c>
      <c r="D49" s="49"/>
      <c r="E49" s="58"/>
      <c r="F49" s="22"/>
      <c r="Z49">
        <v>9.81</v>
      </c>
    </row>
    <row r="50" spans="1:26" ht="15.75" x14ac:dyDescent="0.25">
      <c r="A50" s="44">
        <f t="shared" si="0"/>
        <v>48</v>
      </c>
      <c r="B50" s="59"/>
      <c r="C50" s="58">
        <f>(Data!C50)*10</f>
        <v>30.9</v>
      </c>
      <c r="D50" s="49"/>
      <c r="E50" s="58"/>
      <c r="F50" s="22"/>
      <c r="Z50">
        <v>9.81</v>
      </c>
    </row>
    <row r="51" spans="1:26" ht="15.75" x14ac:dyDescent="0.25">
      <c r="A51" s="44">
        <f t="shared" si="0"/>
        <v>49</v>
      </c>
      <c r="B51" s="59"/>
      <c r="C51" s="58">
        <f>(Data!C51)*10</f>
        <v>30.9</v>
      </c>
      <c r="D51" s="49"/>
      <c r="E51" s="58"/>
      <c r="F51" s="22"/>
      <c r="Z51">
        <v>9.81</v>
      </c>
    </row>
    <row r="52" spans="1:26" ht="15.75" x14ac:dyDescent="0.25">
      <c r="A52" s="44">
        <f t="shared" si="0"/>
        <v>50</v>
      </c>
      <c r="B52" s="59"/>
      <c r="C52" s="58">
        <f>(Data!C52)*10</f>
        <v>31.5</v>
      </c>
      <c r="D52" s="49"/>
      <c r="E52" s="58"/>
      <c r="F52" s="22"/>
      <c r="Z52">
        <v>9.81</v>
      </c>
    </row>
    <row r="53" spans="1:26" ht="15.75" x14ac:dyDescent="0.25">
      <c r="A53" s="44">
        <f t="shared" si="0"/>
        <v>51</v>
      </c>
      <c r="B53" s="59"/>
      <c r="C53" s="58">
        <f>(Data!C53)*10</f>
        <v>32</v>
      </c>
      <c r="D53" s="49"/>
      <c r="E53" s="58"/>
      <c r="F53" s="22"/>
      <c r="Z53">
        <v>9.81</v>
      </c>
    </row>
    <row r="54" spans="1:26" ht="15.75" x14ac:dyDescent="0.25">
      <c r="A54" s="44">
        <f t="shared" si="0"/>
        <v>52</v>
      </c>
      <c r="B54" s="59"/>
      <c r="C54" s="58">
        <f>(Data!C54)*10</f>
        <v>32.9</v>
      </c>
      <c r="D54" s="49"/>
      <c r="E54" s="58"/>
      <c r="F54" s="22"/>
      <c r="Z54">
        <v>9.81</v>
      </c>
    </row>
    <row r="55" spans="1:26" ht="15.75" x14ac:dyDescent="0.25">
      <c r="A55" s="44">
        <f t="shared" si="0"/>
        <v>53</v>
      </c>
      <c r="B55" s="59"/>
      <c r="C55" s="58">
        <f>(Data!C55)*10</f>
        <v>33.799999999999997</v>
      </c>
      <c r="D55" s="49"/>
      <c r="E55" s="58"/>
      <c r="F55" s="22"/>
      <c r="Z55">
        <v>9.81</v>
      </c>
    </row>
    <row r="56" spans="1:26" ht="15.75" x14ac:dyDescent="0.25">
      <c r="A56" s="44">
        <f t="shared" si="0"/>
        <v>54</v>
      </c>
      <c r="B56" s="59"/>
      <c r="C56" s="58">
        <f>(Data!C56)*10</f>
        <v>34.799999999999997</v>
      </c>
      <c r="D56" s="49"/>
      <c r="E56" s="58"/>
      <c r="F56" s="22"/>
      <c r="Z56">
        <v>9.81</v>
      </c>
    </row>
    <row r="57" spans="1:26" ht="15.75" x14ac:dyDescent="0.25">
      <c r="A57" s="44">
        <f t="shared" si="0"/>
        <v>55</v>
      </c>
      <c r="B57" s="59"/>
      <c r="C57" s="58">
        <f>(Data!C57)*10</f>
        <v>37.400000000000006</v>
      </c>
      <c r="D57" s="49"/>
      <c r="E57" s="58"/>
      <c r="F57" s="22"/>
      <c r="Z57">
        <v>9.81</v>
      </c>
    </row>
    <row r="58" spans="1:26" ht="15.75" x14ac:dyDescent="0.25">
      <c r="A58" s="44">
        <f t="shared" si="0"/>
        <v>56</v>
      </c>
      <c r="B58" s="59"/>
      <c r="C58" s="58">
        <f>(Data!C58)*10</f>
        <v>38.799999999999997</v>
      </c>
      <c r="D58" s="49"/>
      <c r="E58" s="58"/>
      <c r="F58" s="22"/>
      <c r="Z58">
        <v>9.81</v>
      </c>
    </row>
    <row r="59" spans="1:26" ht="15.75" x14ac:dyDescent="0.25">
      <c r="A59" s="44">
        <f t="shared" si="0"/>
        <v>57</v>
      </c>
      <c r="B59" s="59"/>
      <c r="C59" s="58">
        <f>(Data!C59)*10</f>
        <v>47.699999999999996</v>
      </c>
      <c r="D59" s="49"/>
      <c r="E59" s="58"/>
      <c r="F59" s="22"/>
      <c r="Z59">
        <v>9.81</v>
      </c>
    </row>
    <row r="60" spans="1:26" ht="15.75" x14ac:dyDescent="0.25">
      <c r="A60" s="44">
        <f t="shared" si="0"/>
        <v>58</v>
      </c>
      <c r="B60" s="59"/>
      <c r="C60" s="58">
        <f>(Data!C60)*10</f>
        <v>63.4</v>
      </c>
      <c r="D60" s="49"/>
      <c r="E60" s="58"/>
      <c r="F60" s="22"/>
      <c r="Z60">
        <v>9.81</v>
      </c>
    </row>
    <row r="61" spans="1:26" ht="15.75" x14ac:dyDescent="0.25">
      <c r="A61" s="44">
        <f t="shared" si="0"/>
        <v>59</v>
      </c>
      <c r="B61" s="59"/>
      <c r="C61" s="58">
        <f>(Data!C61)*10</f>
        <v>78.600000000000009</v>
      </c>
      <c r="D61" s="49"/>
      <c r="E61" s="58"/>
      <c r="F61" s="22"/>
      <c r="Z61">
        <v>9.81</v>
      </c>
    </row>
    <row r="62" spans="1:26" ht="15.75" x14ac:dyDescent="0.25">
      <c r="A62" s="44">
        <f t="shared" si="0"/>
        <v>60</v>
      </c>
      <c r="B62" s="59"/>
      <c r="C62" s="58">
        <f>(Data!C62)*10</f>
        <v>95.3</v>
      </c>
      <c r="D62" s="49"/>
      <c r="E62" s="58"/>
      <c r="F62" s="22"/>
      <c r="Z62">
        <v>9.81</v>
      </c>
    </row>
    <row r="63" spans="1:26" ht="15.75" x14ac:dyDescent="0.25">
      <c r="A63" s="44">
        <f t="shared" si="0"/>
        <v>61</v>
      </c>
      <c r="B63" s="59"/>
      <c r="C63" s="58">
        <f>(Data!C63)*10</f>
        <v>134</v>
      </c>
      <c r="D63" s="49"/>
      <c r="E63" s="58"/>
      <c r="F63" s="22"/>
      <c r="Z63">
        <v>9.81</v>
      </c>
    </row>
    <row r="64" spans="1:26" ht="15.75" x14ac:dyDescent="0.25">
      <c r="A64" s="44">
        <f t="shared" si="0"/>
        <v>62</v>
      </c>
      <c r="B64" s="59"/>
      <c r="C64" s="58">
        <f>(Data!C64)*10</f>
        <v>147.5</v>
      </c>
      <c r="D64" s="49"/>
      <c r="E64" s="58"/>
      <c r="F64" s="22"/>
      <c r="Z64">
        <v>9.81</v>
      </c>
    </row>
    <row r="65" spans="1:26" ht="15.75" x14ac:dyDescent="0.25">
      <c r="A65" s="44">
        <f t="shared" si="0"/>
        <v>63</v>
      </c>
      <c r="B65" s="59"/>
      <c r="C65" s="58">
        <f>(Data!C65)*10</f>
        <v>165.10000000000002</v>
      </c>
      <c r="D65" s="49"/>
      <c r="E65" s="58"/>
      <c r="F65" s="22"/>
      <c r="Z65">
        <v>9.81</v>
      </c>
    </row>
    <row r="66" spans="1:26" ht="15.75" x14ac:dyDescent="0.25">
      <c r="A66" s="44">
        <f t="shared" si="0"/>
        <v>64</v>
      </c>
      <c r="B66" s="59"/>
      <c r="C66" s="58">
        <f>(Data!C66)*10</f>
        <v>181.4</v>
      </c>
      <c r="D66" s="49"/>
      <c r="E66" s="58"/>
      <c r="F66" s="22"/>
      <c r="Z66">
        <v>9.81</v>
      </c>
    </row>
    <row r="67" spans="1:26" ht="15.75" x14ac:dyDescent="0.25">
      <c r="A67" s="44">
        <f t="shared" si="0"/>
        <v>65</v>
      </c>
      <c r="B67" s="59"/>
      <c r="C67" s="58">
        <f>(Data!C67)*10</f>
        <v>187.5</v>
      </c>
      <c r="D67" s="49"/>
      <c r="E67" s="58"/>
      <c r="F67" s="22"/>
      <c r="Z67">
        <v>9.81</v>
      </c>
    </row>
    <row r="68" spans="1:26" ht="15.75" x14ac:dyDescent="0.25">
      <c r="A68" s="44">
        <f t="shared" ref="A68:A69" si="1">A67+1</f>
        <v>66</v>
      </c>
      <c r="B68" s="59"/>
      <c r="C68" s="58">
        <f>(Data!C68)*10</f>
        <v>203.1</v>
      </c>
      <c r="D68" s="49"/>
      <c r="E68" s="58"/>
      <c r="F68" s="22"/>
      <c r="Z68">
        <v>9.81</v>
      </c>
    </row>
    <row r="69" spans="1:26" ht="15.75" x14ac:dyDescent="0.25">
      <c r="A69" s="44">
        <f t="shared" si="1"/>
        <v>67</v>
      </c>
      <c r="B69" s="59"/>
      <c r="C69" s="58">
        <f>(Data!C69)*10</f>
        <v>205.39999999999998</v>
      </c>
      <c r="D69" s="49"/>
      <c r="E69" s="58"/>
      <c r="F69" s="22"/>
      <c r="Z69">
        <v>9.81</v>
      </c>
    </row>
    <row r="70" spans="1:26" ht="15.75" x14ac:dyDescent="0.25">
      <c r="A70" s="44">
        <v>66</v>
      </c>
      <c r="B70" s="59"/>
      <c r="C70" s="58">
        <f>(Data!C70)*10</f>
        <v>145.5</v>
      </c>
      <c r="D70" s="49"/>
      <c r="E70" s="58"/>
      <c r="F70" s="22"/>
      <c r="Z70">
        <v>9.81</v>
      </c>
    </row>
    <row r="71" spans="1:26" ht="15.75" x14ac:dyDescent="0.25">
      <c r="A71" s="44">
        <v>65</v>
      </c>
      <c r="B71" s="59"/>
      <c r="C71" s="58">
        <f>(Data!C71)*10</f>
        <v>117.10000000000001</v>
      </c>
      <c r="D71" s="49"/>
      <c r="E71" s="58"/>
      <c r="F71" s="22"/>
      <c r="Z71">
        <v>9.81</v>
      </c>
    </row>
    <row r="72" spans="1:26" ht="15.75" x14ac:dyDescent="0.25">
      <c r="A72" s="44">
        <v>64</v>
      </c>
      <c r="B72" s="59"/>
      <c r="C72" s="58">
        <f>(Data!C72)*10</f>
        <v>96.6</v>
      </c>
      <c r="D72" s="49"/>
      <c r="E72" s="58"/>
      <c r="F72" s="22"/>
      <c r="Z72">
        <v>9.81</v>
      </c>
    </row>
    <row r="73" spans="1:26" ht="15.75" x14ac:dyDescent="0.25">
      <c r="A73" s="44">
        <v>63</v>
      </c>
      <c r="B73" s="59"/>
      <c r="C73" s="58">
        <f>(Data!C73)*10</f>
        <v>77.099999999999994</v>
      </c>
      <c r="D73" s="49"/>
      <c r="E73" s="58"/>
      <c r="F73" s="22"/>
      <c r="Z73">
        <v>9.81</v>
      </c>
    </row>
    <row r="74" spans="1:26" ht="15.75" x14ac:dyDescent="0.25">
      <c r="A74" s="44">
        <v>62</v>
      </c>
      <c r="B74" s="59"/>
      <c r="C74" s="58">
        <f>(Data!C74)*10</f>
        <v>44.2</v>
      </c>
      <c r="D74" s="49"/>
      <c r="E74" s="58"/>
      <c r="F74" s="22"/>
      <c r="Z74">
        <v>9.81</v>
      </c>
    </row>
    <row r="75" spans="1:26" ht="15.75" x14ac:dyDescent="0.25">
      <c r="A75" s="44">
        <v>61</v>
      </c>
      <c r="B75" s="59"/>
      <c r="C75" s="58">
        <f>(Data!C75)*10</f>
        <v>36.299999999999997</v>
      </c>
      <c r="D75" s="49"/>
      <c r="E75" s="58"/>
      <c r="F75" s="22"/>
      <c r="Z75">
        <v>9.81</v>
      </c>
    </row>
    <row r="76" spans="1:26" ht="15.75" x14ac:dyDescent="0.25">
      <c r="A76" s="44">
        <v>60</v>
      </c>
      <c r="B76" s="59"/>
      <c r="C76" s="58">
        <f>(Data!C76)*10</f>
        <v>33.9</v>
      </c>
      <c r="D76" s="49"/>
      <c r="E76" s="58"/>
      <c r="F76" s="22"/>
      <c r="Z76">
        <v>9.81</v>
      </c>
    </row>
    <row r="77" spans="1:26" ht="15.75" x14ac:dyDescent="0.25">
      <c r="A77" s="44">
        <v>59</v>
      </c>
      <c r="B77" s="59"/>
      <c r="C77" s="58">
        <f>(Data!C77)*10</f>
        <v>31.7</v>
      </c>
      <c r="D77" s="49"/>
      <c r="E77" s="58"/>
      <c r="F77" s="22"/>
      <c r="Z77">
        <v>9.81</v>
      </c>
    </row>
    <row r="78" spans="1:26" ht="15.75" x14ac:dyDescent="0.25">
      <c r="A78" s="44">
        <v>58</v>
      </c>
      <c r="B78" s="59"/>
      <c r="C78" s="58">
        <f>(Data!C78)*10</f>
        <v>30.2</v>
      </c>
      <c r="D78" s="49"/>
      <c r="E78" s="58"/>
      <c r="F78" s="22"/>
      <c r="Z78">
        <v>9.81</v>
      </c>
    </row>
    <row r="79" spans="1:26" ht="15.75" x14ac:dyDescent="0.25">
      <c r="A79" s="44">
        <v>57</v>
      </c>
      <c r="B79" s="59"/>
      <c r="C79" s="58">
        <f>(Data!C79)*10</f>
        <v>28.900000000000002</v>
      </c>
      <c r="D79" s="49"/>
      <c r="E79" s="58"/>
      <c r="F79" s="22"/>
      <c r="Z79">
        <v>9.81</v>
      </c>
    </row>
    <row r="80" spans="1:26" ht="15.75" x14ac:dyDescent="0.25">
      <c r="A80" s="44">
        <v>56</v>
      </c>
      <c r="B80" s="59"/>
      <c r="C80" s="58">
        <f>(Data!C80)*10</f>
        <v>27.7</v>
      </c>
      <c r="D80" s="49"/>
      <c r="E80" s="58"/>
      <c r="F80" s="22"/>
      <c r="Z80">
        <v>9.81</v>
      </c>
    </row>
    <row r="81" spans="1:26" ht="15.75" x14ac:dyDescent="0.25">
      <c r="A81" s="44">
        <v>55</v>
      </c>
      <c r="B81" s="59"/>
      <c r="C81" s="58">
        <f>(Data!C81)*10</f>
        <v>26.8</v>
      </c>
      <c r="D81" s="49"/>
      <c r="E81" s="58"/>
      <c r="F81" s="22"/>
      <c r="Z81">
        <v>9.81</v>
      </c>
    </row>
    <row r="82" spans="1:26" ht="15.75" x14ac:dyDescent="0.25">
      <c r="A82" s="44">
        <v>54</v>
      </c>
      <c r="B82" s="59"/>
      <c r="C82" s="58">
        <f>(Data!C82)*10</f>
        <v>25.9</v>
      </c>
      <c r="D82" s="49"/>
      <c r="E82" s="58"/>
      <c r="F82" s="22"/>
      <c r="Z82">
        <v>9.81</v>
      </c>
    </row>
    <row r="83" spans="1:26" ht="15.75" x14ac:dyDescent="0.25">
      <c r="A83" s="44">
        <v>53</v>
      </c>
      <c r="B83" s="59"/>
      <c r="C83" s="58">
        <f>(Data!C83)*10</f>
        <v>25.099999999999998</v>
      </c>
      <c r="D83" s="49"/>
      <c r="E83" s="58"/>
      <c r="F83" s="22"/>
      <c r="Z83">
        <v>9.81</v>
      </c>
    </row>
    <row r="84" spans="1:26" ht="15.75" x14ac:dyDescent="0.25">
      <c r="A84" s="44">
        <v>52</v>
      </c>
      <c r="B84" s="59"/>
      <c r="C84" s="58">
        <f>(Data!C84)*10</f>
        <v>24.3</v>
      </c>
      <c r="D84" s="49"/>
      <c r="E84" s="58"/>
      <c r="F84" s="22"/>
      <c r="Z84">
        <v>9.81</v>
      </c>
    </row>
    <row r="85" spans="1:26" ht="15.75" x14ac:dyDescent="0.25">
      <c r="A85" s="44">
        <v>51</v>
      </c>
      <c r="B85" s="59"/>
      <c r="C85" s="58">
        <f>(Data!C85)*10</f>
        <v>23.799999999999997</v>
      </c>
      <c r="D85" s="49"/>
      <c r="E85" s="58"/>
      <c r="F85" s="55"/>
      <c r="Z85">
        <v>9.81</v>
      </c>
    </row>
    <row r="86" spans="1:26" ht="15.75" x14ac:dyDescent="0.25">
      <c r="A86" s="44">
        <v>50</v>
      </c>
      <c r="B86" s="59"/>
      <c r="C86" s="58">
        <f>(Data!C86)*10</f>
        <v>22.799999999999997</v>
      </c>
      <c r="D86" s="49"/>
      <c r="E86" s="58"/>
      <c r="F86" s="22"/>
      <c r="Z86">
        <v>9.81</v>
      </c>
    </row>
    <row r="87" spans="1:26" ht="15.75" x14ac:dyDescent="0.25">
      <c r="A87" s="44">
        <v>49</v>
      </c>
      <c r="B87" s="59"/>
      <c r="C87" s="58">
        <f>(Data!C87)*10</f>
        <v>22.1</v>
      </c>
      <c r="D87" s="49"/>
      <c r="E87" s="58"/>
      <c r="F87" s="22"/>
      <c r="Z87">
        <v>9.81</v>
      </c>
    </row>
    <row r="88" spans="1:26" ht="15.75" x14ac:dyDescent="0.25">
      <c r="A88" s="44">
        <v>48</v>
      </c>
      <c r="B88" s="59"/>
      <c r="C88" s="58">
        <f>(Data!C88)*10</f>
        <v>21.400000000000002</v>
      </c>
      <c r="D88" s="49"/>
      <c r="E88" s="58"/>
      <c r="F88" s="22"/>
      <c r="Z88">
        <v>9.81</v>
      </c>
    </row>
    <row r="89" spans="1:26" ht="15.75" x14ac:dyDescent="0.25">
      <c r="A89" s="44">
        <v>47</v>
      </c>
      <c r="B89" s="59"/>
      <c r="C89" s="58">
        <f>(Data!C89)*10</f>
        <v>20.6</v>
      </c>
      <c r="D89" s="49"/>
      <c r="E89" s="58"/>
      <c r="F89" s="56"/>
      <c r="Z89">
        <v>9.81</v>
      </c>
    </row>
    <row r="90" spans="1:26" ht="15.75" x14ac:dyDescent="0.25">
      <c r="A90" s="44">
        <v>46</v>
      </c>
      <c r="B90" s="59"/>
      <c r="C90" s="58">
        <f>(Data!C90)*10</f>
        <v>20.399999999999999</v>
      </c>
      <c r="D90" s="49"/>
      <c r="E90" s="58"/>
      <c r="F90" s="22"/>
      <c r="Z90">
        <v>9.81</v>
      </c>
    </row>
    <row r="91" spans="1:26" ht="15.75" x14ac:dyDescent="0.25">
      <c r="A91" s="44">
        <v>45</v>
      </c>
      <c r="B91" s="59"/>
      <c r="C91" s="58">
        <f>(Data!C91)*10</f>
        <v>19.2</v>
      </c>
      <c r="D91" s="49"/>
      <c r="E91" s="58"/>
      <c r="F91" s="22"/>
      <c r="Z91">
        <v>9.81</v>
      </c>
    </row>
    <row r="92" spans="1:26" ht="15.75" x14ac:dyDescent="0.25">
      <c r="A92" s="44">
        <v>44</v>
      </c>
      <c r="B92" s="59"/>
      <c r="C92" s="58">
        <f>(Data!C92)*10</f>
        <v>18.400000000000002</v>
      </c>
      <c r="D92" s="49"/>
      <c r="E92" s="58"/>
      <c r="F92" s="22"/>
      <c r="Z92">
        <v>9.81</v>
      </c>
    </row>
    <row r="93" spans="1:26" ht="15.75" x14ac:dyDescent="0.25">
      <c r="A93" s="44">
        <v>43</v>
      </c>
      <c r="B93" s="59"/>
      <c r="C93" s="58">
        <f>(Data!C93)*10</f>
        <v>17.899999999999999</v>
      </c>
      <c r="D93" s="49"/>
      <c r="E93" s="58"/>
      <c r="F93" s="22"/>
      <c r="Z93">
        <v>9.81</v>
      </c>
    </row>
    <row r="94" spans="1:26" ht="15.75" x14ac:dyDescent="0.25">
      <c r="A94" s="44">
        <v>42</v>
      </c>
      <c r="B94" s="59"/>
      <c r="C94" s="58">
        <f>(Data!C94)*10</f>
        <v>17.399999999999999</v>
      </c>
      <c r="D94" s="49"/>
      <c r="E94" s="58"/>
      <c r="F94" s="22"/>
      <c r="Z94">
        <v>9.81</v>
      </c>
    </row>
    <row r="95" spans="1:26" ht="15.75" x14ac:dyDescent="0.25">
      <c r="A95" s="44">
        <v>41</v>
      </c>
      <c r="B95" s="59"/>
      <c r="C95" s="58">
        <f>(Data!C95)*10</f>
        <v>16.8</v>
      </c>
      <c r="D95" s="49"/>
      <c r="E95" s="58"/>
      <c r="F95" s="22"/>
      <c r="Z95">
        <v>9.81</v>
      </c>
    </row>
    <row r="96" spans="1:26" ht="15.75" x14ac:dyDescent="0.25">
      <c r="A96" s="44">
        <v>40</v>
      </c>
      <c r="B96" s="59"/>
      <c r="C96" s="58">
        <f>(Data!C96)*10</f>
        <v>16.100000000000001</v>
      </c>
      <c r="D96" s="49"/>
      <c r="E96" s="58"/>
      <c r="F96" s="22"/>
      <c r="Z96">
        <v>9.81</v>
      </c>
    </row>
    <row r="97" spans="1:26" ht="15.75" x14ac:dyDescent="0.25">
      <c r="A97" s="44">
        <v>39</v>
      </c>
      <c r="B97" s="59"/>
      <c r="C97" s="58">
        <f>(Data!C97)*10</f>
        <v>14.7</v>
      </c>
      <c r="D97" s="49"/>
      <c r="E97" s="58"/>
      <c r="F97" s="22"/>
      <c r="Z97">
        <v>9.81</v>
      </c>
    </row>
    <row r="98" spans="1:26" ht="15.75" x14ac:dyDescent="0.25">
      <c r="A98" s="44">
        <v>38</v>
      </c>
      <c r="B98" s="59"/>
      <c r="C98" s="58">
        <f>(Data!C98)*10</f>
        <v>14.1</v>
      </c>
      <c r="D98" s="49"/>
      <c r="E98" s="58"/>
      <c r="F98" s="22"/>
      <c r="Z98">
        <v>9.81</v>
      </c>
    </row>
    <row r="99" spans="1:26" ht="15.75" x14ac:dyDescent="0.25">
      <c r="A99" s="44">
        <v>37</v>
      </c>
      <c r="B99" s="59"/>
      <c r="C99" s="58">
        <f>(Data!C99)*10</f>
        <v>13.3</v>
      </c>
      <c r="D99" s="49"/>
      <c r="E99" s="58"/>
      <c r="F99" s="22"/>
      <c r="Z99">
        <v>9.81</v>
      </c>
    </row>
    <row r="100" spans="1:26" ht="15.75" x14ac:dyDescent="0.25">
      <c r="A100" s="44">
        <v>36</v>
      </c>
      <c r="B100" s="59"/>
      <c r="C100" s="58">
        <f>(Data!C100)*10</f>
        <v>12.3</v>
      </c>
      <c r="D100" s="49"/>
      <c r="E100" s="58"/>
      <c r="F100" s="22"/>
      <c r="Z100">
        <v>9.81</v>
      </c>
    </row>
    <row r="101" spans="1:26" ht="15.75" x14ac:dyDescent="0.25">
      <c r="A101" s="44">
        <v>35</v>
      </c>
      <c r="B101" s="59"/>
      <c r="C101" s="58">
        <f>(Data!C101)*10</f>
        <v>11.7</v>
      </c>
      <c r="D101" s="49"/>
      <c r="E101" s="58"/>
      <c r="F101" s="22"/>
      <c r="Z101">
        <v>9.81</v>
      </c>
    </row>
    <row r="102" spans="1:26" ht="15.75" x14ac:dyDescent="0.25">
      <c r="A102" s="44">
        <v>34</v>
      </c>
      <c r="B102" s="59"/>
      <c r="C102" s="58">
        <f>(Data!C102)*10</f>
        <v>10.8</v>
      </c>
      <c r="D102" s="49"/>
      <c r="E102" s="58"/>
      <c r="F102" s="22"/>
      <c r="Z102">
        <v>9.81</v>
      </c>
    </row>
    <row r="103" spans="1:26" ht="15.75" x14ac:dyDescent="0.25">
      <c r="A103" s="44">
        <v>33</v>
      </c>
      <c r="B103" s="59"/>
      <c r="C103" s="58">
        <f>(Data!C103)*10</f>
        <v>10.1</v>
      </c>
      <c r="D103" s="49"/>
      <c r="E103" s="58"/>
      <c r="F103" s="22"/>
      <c r="Z103">
        <v>9.81</v>
      </c>
    </row>
    <row r="104" spans="1:26" ht="15.75" x14ac:dyDescent="0.25">
      <c r="A104" s="44">
        <v>32</v>
      </c>
      <c r="B104" s="59"/>
      <c r="C104" s="58">
        <f>(Data!C104)*10</f>
        <v>9.3999999999999986</v>
      </c>
      <c r="D104" s="49"/>
      <c r="E104" s="58"/>
      <c r="F104" s="48"/>
      <c r="Z104">
        <v>9.81</v>
      </c>
    </row>
    <row r="105" spans="1:26" ht="15.75" x14ac:dyDescent="0.25">
      <c r="A105" s="44">
        <v>31</v>
      </c>
      <c r="B105" s="59"/>
      <c r="C105" s="58">
        <f>(Data!C105)*10</f>
        <v>8.8000000000000007</v>
      </c>
      <c r="D105" s="49"/>
      <c r="E105" s="58"/>
      <c r="F105" s="22"/>
      <c r="Z105">
        <v>9.81</v>
      </c>
    </row>
    <row r="106" spans="1:26" ht="15.75" x14ac:dyDescent="0.25">
      <c r="A106" s="44">
        <v>30</v>
      </c>
      <c r="B106" s="59"/>
      <c r="C106" s="58">
        <f>(Data!C106)*10</f>
        <v>8</v>
      </c>
      <c r="D106" s="49"/>
      <c r="E106" s="58"/>
      <c r="F106" s="22"/>
      <c r="Z106">
        <v>9.81</v>
      </c>
    </row>
    <row r="107" spans="1:26" ht="15.75" x14ac:dyDescent="0.25">
      <c r="A107" s="44">
        <v>29</v>
      </c>
      <c r="B107" s="59"/>
      <c r="C107" s="58">
        <f>(Data!C107)*10</f>
        <v>7.6</v>
      </c>
      <c r="D107" s="49"/>
      <c r="E107" s="58"/>
      <c r="F107" s="22"/>
      <c r="Z107">
        <v>9.81</v>
      </c>
    </row>
    <row r="108" spans="1:26" ht="15.75" x14ac:dyDescent="0.25">
      <c r="A108" s="44">
        <v>28</v>
      </c>
      <c r="B108" s="59"/>
      <c r="C108" s="58">
        <f>(Data!C108)*10</f>
        <v>7.1999999999999993</v>
      </c>
      <c r="D108" s="49"/>
      <c r="E108" s="58"/>
      <c r="F108" s="22"/>
      <c r="Z108">
        <v>9.81</v>
      </c>
    </row>
    <row r="109" spans="1:26" ht="15.75" x14ac:dyDescent="0.25">
      <c r="A109" s="44">
        <v>27</v>
      </c>
      <c r="B109" s="59"/>
      <c r="C109" s="58">
        <f>(Data!C109)*10</f>
        <v>6.7</v>
      </c>
      <c r="D109" s="49"/>
      <c r="E109" s="58"/>
      <c r="F109" s="22"/>
      <c r="Z109">
        <v>9.81</v>
      </c>
    </row>
    <row r="110" spans="1:26" ht="15.75" x14ac:dyDescent="0.25">
      <c r="A110" s="44">
        <v>26</v>
      </c>
      <c r="B110" s="59"/>
      <c r="C110" s="58">
        <f>(Data!C110)*10</f>
        <v>6.3</v>
      </c>
      <c r="D110" s="49"/>
      <c r="E110" s="58"/>
      <c r="F110" s="22"/>
      <c r="Z110">
        <v>9.81</v>
      </c>
    </row>
    <row r="111" spans="1:26" ht="15.75" x14ac:dyDescent="0.25">
      <c r="A111" s="44">
        <v>25</v>
      </c>
      <c r="B111" s="59"/>
      <c r="C111" s="58">
        <f>(Data!C111)*10</f>
        <v>5.8999999999999995</v>
      </c>
      <c r="D111" s="49"/>
      <c r="E111" s="58"/>
      <c r="F111" s="22"/>
      <c r="Z111">
        <v>9.81</v>
      </c>
    </row>
    <row r="112" spans="1:26" ht="15.75" x14ac:dyDescent="0.25">
      <c r="A112" s="44">
        <v>24</v>
      </c>
      <c r="B112" s="59"/>
      <c r="C112" s="58">
        <f>(Data!C112)*10</f>
        <v>5.5</v>
      </c>
      <c r="D112" s="49"/>
      <c r="E112" s="58"/>
      <c r="F112" s="22"/>
      <c r="Z112">
        <v>9.81</v>
      </c>
    </row>
    <row r="113" spans="1:26" ht="15.75" x14ac:dyDescent="0.25">
      <c r="A113" s="44">
        <v>23</v>
      </c>
      <c r="B113" s="59"/>
      <c r="C113" s="58">
        <f>(Data!C113)*10</f>
        <v>5</v>
      </c>
      <c r="D113" s="49"/>
      <c r="E113" s="58"/>
      <c r="F113" s="22"/>
      <c r="Z113">
        <v>9.81</v>
      </c>
    </row>
    <row r="114" spans="1:26" ht="15.75" x14ac:dyDescent="0.25">
      <c r="A114" s="44">
        <v>22</v>
      </c>
      <c r="B114" s="59"/>
      <c r="C114" s="58">
        <f>(Data!C114)*10</f>
        <v>5.2</v>
      </c>
      <c r="D114" s="49"/>
      <c r="E114" s="58"/>
      <c r="F114" s="22"/>
      <c r="Z114">
        <v>9.81</v>
      </c>
    </row>
    <row r="115" spans="1:26" ht="15.75" x14ac:dyDescent="0.25">
      <c r="A115" s="44">
        <v>21</v>
      </c>
      <c r="B115" s="59"/>
      <c r="C115" s="58">
        <f>(Data!C115)*10</f>
        <v>4.6999999999999993</v>
      </c>
      <c r="D115" s="49"/>
      <c r="E115" s="58"/>
      <c r="F115" s="22"/>
      <c r="Z115">
        <v>9.81</v>
      </c>
    </row>
    <row r="116" spans="1:26" ht="15.75" x14ac:dyDescent="0.25">
      <c r="A116" s="44">
        <v>20</v>
      </c>
      <c r="B116" s="59"/>
      <c r="C116" s="58">
        <f>(Data!C116)*10</f>
        <v>4.2</v>
      </c>
      <c r="D116" s="49"/>
      <c r="E116" s="58"/>
      <c r="F116" s="22"/>
      <c r="Z116">
        <v>9.81</v>
      </c>
    </row>
    <row r="117" spans="1:26" ht="15.75" x14ac:dyDescent="0.25">
      <c r="A117" s="44">
        <v>19</v>
      </c>
      <c r="B117" s="59"/>
      <c r="C117" s="58">
        <f>(Data!C117)*10</f>
        <v>3.8</v>
      </c>
      <c r="D117" s="51"/>
      <c r="E117" s="50"/>
      <c r="F117" s="22"/>
    </row>
    <row r="118" spans="1:26" ht="15.75" x14ac:dyDescent="0.25">
      <c r="A118" s="44">
        <v>18</v>
      </c>
      <c r="B118" s="59"/>
      <c r="C118" s="58">
        <f>(Data!C118)*10</f>
        <v>3.5999999999999996</v>
      </c>
      <c r="D118" s="51"/>
      <c r="E118" s="50"/>
      <c r="F118" s="22"/>
    </row>
    <row r="119" spans="1:26" ht="15.75" x14ac:dyDescent="0.25">
      <c r="A119" s="44">
        <v>17</v>
      </c>
      <c r="B119" s="59"/>
      <c r="C119" s="58">
        <f>(Data!C119)*10</f>
        <v>3.1</v>
      </c>
      <c r="D119" s="51"/>
      <c r="E119" s="50"/>
      <c r="F119" s="22"/>
    </row>
    <row r="120" spans="1:26" ht="15.75" x14ac:dyDescent="0.25">
      <c r="A120" s="44">
        <v>16</v>
      </c>
      <c r="B120" s="59"/>
      <c r="C120" s="58">
        <f>(Data!C120)*10</f>
        <v>2.1</v>
      </c>
      <c r="D120" s="51"/>
      <c r="E120" s="50"/>
      <c r="F120" s="22"/>
    </row>
    <row r="121" spans="1:26" ht="15.75" x14ac:dyDescent="0.25">
      <c r="A121" s="44">
        <v>15</v>
      </c>
      <c r="B121" s="59"/>
      <c r="C121" s="58">
        <f>(Data!C121)*10</f>
        <v>1.7999999999999998</v>
      </c>
      <c r="D121" s="51"/>
      <c r="E121" s="50"/>
      <c r="F121" s="22"/>
    </row>
    <row r="122" spans="1:26" ht="15.75" x14ac:dyDescent="0.25">
      <c r="A122" s="44">
        <v>14</v>
      </c>
      <c r="B122" s="59"/>
      <c r="C122" s="58">
        <f>(Data!C122)*10</f>
        <v>1.6</v>
      </c>
      <c r="D122" s="51"/>
      <c r="E122" s="50"/>
      <c r="F122" s="22"/>
    </row>
    <row r="123" spans="1:26" ht="15.75" x14ac:dyDescent="0.25">
      <c r="A123" s="44">
        <v>13</v>
      </c>
      <c r="B123" s="59"/>
      <c r="C123" s="58">
        <f>(Data!C123)*10</f>
        <v>1.2</v>
      </c>
      <c r="D123" s="51"/>
      <c r="E123" s="50"/>
      <c r="F123" s="22"/>
    </row>
    <row r="124" spans="1:26" ht="15.75" x14ac:dyDescent="0.25">
      <c r="A124" s="44">
        <v>12</v>
      </c>
      <c r="B124" s="59"/>
      <c r="C124" s="58">
        <f>(Data!C124)*10</f>
        <v>0.89999999999999991</v>
      </c>
      <c r="D124" s="51"/>
      <c r="E124" s="50"/>
      <c r="F124" s="22"/>
    </row>
    <row r="125" spans="1:26" ht="15.75" x14ac:dyDescent="0.25">
      <c r="A125" s="44">
        <v>11</v>
      </c>
      <c r="B125" s="59"/>
      <c r="C125" s="58">
        <f>(Data!C125)*10</f>
        <v>0.70000000000000007</v>
      </c>
      <c r="D125" s="51"/>
      <c r="E125" s="50"/>
      <c r="F125" s="22"/>
    </row>
    <row r="126" spans="1:26" ht="15.75" x14ac:dyDescent="0.25">
      <c r="A126" s="44">
        <v>10</v>
      </c>
      <c r="B126" s="59"/>
      <c r="C126" s="58">
        <f>(Data!C126)*10</f>
        <v>0.70000000000000007</v>
      </c>
      <c r="D126" s="51"/>
      <c r="E126" s="50"/>
      <c r="F126" s="22"/>
    </row>
    <row r="127" spans="1:26" ht="15.75" x14ac:dyDescent="0.25">
      <c r="A127" s="44">
        <v>9</v>
      </c>
      <c r="B127" s="59"/>
      <c r="C127" s="58">
        <f>(Data!C127)*10</f>
        <v>0.5</v>
      </c>
      <c r="D127" s="51"/>
      <c r="E127" s="50"/>
      <c r="F127" s="22"/>
    </row>
    <row r="128" spans="1:26" ht="15.75" x14ac:dyDescent="0.25">
      <c r="A128" s="44">
        <v>8</v>
      </c>
      <c r="B128" s="59"/>
      <c r="C128" s="58">
        <f>(Data!C128)*10</f>
        <v>0.4</v>
      </c>
      <c r="D128" s="51"/>
      <c r="E128" s="50"/>
      <c r="F128" s="22"/>
    </row>
    <row r="129" spans="1:6" ht="15.75" x14ac:dyDescent="0.25">
      <c r="A129" s="44">
        <v>7</v>
      </c>
      <c r="B129" s="59"/>
      <c r="C129" s="58">
        <f>(Data!C129)*10</f>
        <v>0.3</v>
      </c>
      <c r="D129" s="51"/>
      <c r="E129" s="50"/>
      <c r="F129" s="22"/>
    </row>
    <row r="130" spans="1:6" ht="15.75" x14ac:dyDescent="0.25">
      <c r="A130" s="44">
        <v>6</v>
      </c>
      <c r="B130" s="59"/>
      <c r="C130" s="58">
        <f>(Data!C130)*10</f>
        <v>0.2</v>
      </c>
      <c r="D130" s="51"/>
      <c r="E130" s="50"/>
      <c r="F130" s="22"/>
    </row>
    <row r="131" spans="1:6" ht="15.75" x14ac:dyDescent="0.25">
      <c r="A131" s="44">
        <v>5</v>
      </c>
      <c r="B131" s="59"/>
      <c r="C131" s="58">
        <f>(Data!C131)*10</f>
        <v>0</v>
      </c>
      <c r="D131" s="51"/>
      <c r="E131" s="50"/>
      <c r="F131" s="22"/>
    </row>
    <row r="132" spans="1:6" ht="15.75" x14ac:dyDescent="0.25">
      <c r="A132" s="44">
        <v>4</v>
      </c>
      <c r="B132" s="59"/>
      <c r="C132" s="58">
        <f>(Data!C132)*10</f>
        <v>0</v>
      </c>
      <c r="D132" s="51"/>
      <c r="E132" s="50"/>
      <c r="F132" s="22"/>
    </row>
    <row r="133" spans="1:6" ht="15.75" x14ac:dyDescent="0.25">
      <c r="A133" s="44">
        <v>3</v>
      </c>
      <c r="B133" s="59"/>
      <c r="C133" s="58">
        <f>(Data!C133)*10</f>
        <v>0</v>
      </c>
      <c r="D133" s="51"/>
      <c r="E133" s="50"/>
      <c r="F133" s="22"/>
    </row>
    <row r="134" spans="1:6" ht="15.75" x14ac:dyDescent="0.25">
      <c r="A134" s="44">
        <v>2</v>
      </c>
      <c r="B134" s="59"/>
      <c r="C134" s="58">
        <f>(Data!C134)*10</f>
        <v>0</v>
      </c>
      <c r="D134" s="51"/>
      <c r="E134" s="50"/>
      <c r="F134" s="22"/>
    </row>
    <row r="135" spans="1:6" ht="15.75" x14ac:dyDescent="0.25">
      <c r="A135" s="44">
        <v>1</v>
      </c>
      <c r="B135" s="59"/>
      <c r="C135" s="58">
        <f>(Data!C135)*10</f>
        <v>0</v>
      </c>
      <c r="D135" s="51"/>
      <c r="E135" s="50"/>
      <c r="F135" s="22"/>
    </row>
    <row r="136" spans="1:6" ht="15.75" x14ac:dyDescent="0.25">
      <c r="A136" s="44"/>
      <c r="B136" s="59"/>
      <c r="C136" s="58"/>
      <c r="D136" s="51"/>
      <c r="E136" s="50"/>
      <c r="F136" s="22"/>
    </row>
    <row r="137" spans="1:6" ht="15.75" x14ac:dyDescent="0.25">
      <c r="A137" s="44"/>
      <c r="B137" s="59"/>
      <c r="C137" s="58"/>
      <c r="D137" s="51"/>
      <c r="E137" s="50"/>
      <c r="F137" s="22"/>
    </row>
    <row r="138" spans="1:6" ht="15.75" x14ac:dyDescent="0.25">
      <c r="A138" s="44"/>
      <c r="B138" s="59"/>
      <c r="C138" s="58"/>
      <c r="D138" s="51"/>
      <c r="E138" s="50"/>
      <c r="F138" s="22"/>
    </row>
    <row r="139" spans="1:6" ht="15.75" x14ac:dyDescent="0.25">
      <c r="A139" s="44"/>
      <c r="B139" s="59"/>
      <c r="C139" s="58"/>
      <c r="D139" s="51"/>
      <c r="E139" s="50"/>
      <c r="F139" s="22"/>
    </row>
    <row r="140" spans="1:6" ht="15.75" x14ac:dyDescent="0.25">
      <c r="A140" s="44"/>
      <c r="B140" s="59"/>
      <c r="C140" s="58"/>
      <c r="D140" s="51"/>
      <c r="E140" s="50"/>
      <c r="F140" s="22"/>
    </row>
    <row r="141" spans="1:6" ht="15.75" x14ac:dyDescent="0.25">
      <c r="A141" s="44"/>
      <c r="B141" s="59"/>
      <c r="C141" s="58"/>
      <c r="D141" s="52"/>
      <c r="E141" s="53"/>
      <c r="F141" s="54"/>
    </row>
    <row r="142" spans="1:6" ht="15.75" x14ac:dyDescent="0.25">
      <c r="A142" s="44"/>
      <c r="B142" s="59"/>
      <c r="C142" s="58"/>
      <c r="D142" s="51"/>
      <c r="E142" s="50"/>
      <c r="F142" s="22"/>
    </row>
    <row r="143" spans="1:6" ht="15.75" x14ac:dyDescent="0.25">
      <c r="A143" s="44"/>
      <c r="B143" s="59"/>
      <c r="C143" s="58"/>
      <c r="D143" s="51"/>
      <c r="E143" s="50"/>
      <c r="F143" s="22"/>
    </row>
    <row r="144" spans="1:6" ht="15.75" x14ac:dyDescent="0.25">
      <c r="A144" s="44"/>
      <c r="B144" s="59"/>
      <c r="C144" s="58"/>
      <c r="D144" s="51"/>
      <c r="E144" s="50"/>
      <c r="F144" s="22"/>
    </row>
    <row r="145" spans="1:6" ht="15.75" x14ac:dyDescent="0.25">
      <c r="A145" s="44"/>
      <c r="B145" s="59"/>
      <c r="C145" s="58"/>
      <c r="D145" s="52"/>
      <c r="E145" s="53"/>
      <c r="F145" s="54"/>
    </row>
    <row r="146" spans="1:6" ht="15.75" x14ac:dyDescent="0.25">
      <c r="A146" s="44"/>
      <c r="B146" s="59"/>
      <c r="C146" s="58"/>
      <c r="D146" s="51"/>
      <c r="E146" s="50"/>
      <c r="F146" s="22"/>
    </row>
    <row r="147" spans="1:6" ht="15.75" x14ac:dyDescent="0.25">
      <c r="A147" s="44"/>
      <c r="B147" s="59"/>
      <c r="C147" s="58"/>
      <c r="D147" s="51"/>
      <c r="E147" s="50"/>
      <c r="F147" s="22"/>
    </row>
    <row r="148" spans="1:6" ht="15.75" x14ac:dyDescent="0.25">
      <c r="A148" s="44"/>
      <c r="B148" s="59"/>
      <c r="C148" s="58"/>
      <c r="D148" s="51"/>
      <c r="E148" s="50"/>
      <c r="F148" s="22"/>
    </row>
    <row r="149" spans="1:6" ht="15.75" x14ac:dyDescent="0.25">
      <c r="A149" s="44"/>
      <c r="B149" s="59"/>
      <c r="C149" s="58"/>
      <c r="D149" s="51"/>
      <c r="E149" s="50"/>
      <c r="F149" s="22"/>
    </row>
    <row r="150" spans="1:6" ht="15.75" x14ac:dyDescent="0.25">
      <c r="A150" s="44"/>
      <c r="B150" s="59"/>
      <c r="C150" s="58"/>
      <c r="D150" s="51"/>
      <c r="E150" s="50"/>
      <c r="F150" s="22"/>
    </row>
    <row r="151" spans="1:6" ht="15.75" x14ac:dyDescent="0.25">
      <c r="A151" s="44"/>
      <c r="B151" s="59"/>
      <c r="C151" s="58"/>
      <c r="D151" s="51"/>
      <c r="E151" s="50"/>
      <c r="F151" s="22"/>
    </row>
    <row r="152" spans="1:6" ht="15.75" x14ac:dyDescent="0.25">
      <c r="A152" s="44"/>
      <c r="B152" s="59"/>
      <c r="C152" s="58"/>
      <c r="D152" s="51"/>
      <c r="E152" s="50"/>
      <c r="F152" s="22"/>
    </row>
    <row r="153" spans="1:6" ht="15.75" x14ac:dyDescent="0.25">
      <c r="A153" s="44"/>
      <c r="B153" s="59"/>
      <c r="C153" s="58"/>
      <c r="D153" s="51"/>
      <c r="E153" s="50"/>
      <c r="F153" s="22"/>
    </row>
    <row r="154" spans="1:6" ht="15.75" x14ac:dyDescent="0.25">
      <c r="A154" s="44"/>
      <c r="B154" s="59"/>
      <c r="C154" s="58"/>
      <c r="D154" s="51"/>
      <c r="E154" s="50"/>
      <c r="F154" s="22"/>
    </row>
    <row r="155" spans="1:6" ht="15.75" x14ac:dyDescent="0.25">
      <c r="A155" s="44"/>
      <c r="B155" s="59"/>
      <c r="C155" s="58"/>
      <c r="D155" s="51"/>
      <c r="E155" s="50"/>
      <c r="F155" s="22"/>
    </row>
    <row r="156" spans="1:6" ht="15.75" x14ac:dyDescent="0.25">
      <c r="A156" s="44"/>
      <c r="B156" s="59"/>
      <c r="C156" s="58"/>
      <c r="D156" s="51"/>
      <c r="E156" s="50"/>
      <c r="F156" s="22"/>
    </row>
    <row r="157" spans="1:6" ht="15.75" x14ac:dyDescent="0.25">
      <c r="A157" s="44"/>
      <c r="B157" s="59"/>
      <c r="C157" s="58"/>
      <c r="D157" s="51"/>
      <c r="E157" s="50"/>
      <c r="F157" s="22"/>
    </row>
    <row r="158" spans="1:6" ht="15.75" x14ac:dyDescent="0.25">
      <c r="A158" s="44"/>
      <c r="B158" s="59"/>
      <c r="C158" s="58"/>
      <c r="D158" s="51"/>
      <c r="E158" s="50"/>
      <c r="F158" s="22"/>
    </row>
    <row r="159" spans="1:6" ht="15.75" x14ac:dyDescent="0.25">
      <c r="A159" s="44"/>
      <c r="B159" s="59"/>
      <c r="C159" s="58"/>
      <c r="D159" s="51"/>
      <c r="E159" s="50"/>
      <c r="F159" s="22"/>
    </row>
    <row r="160" spans="1:6" ht="15.75" x14ac:dyDescent="0.25">
      <c r="A160" s="44"/>
      <c r="B160" s="59"/>
      <c r="C160" s="58"/>
      <c r="D160" s="51"/>
      <c r="E160" s="50"/>
      <c r="F160" s="22"/>
    </row>
    <row r="161" spans="1:6" ht="15.75" x14ac:dyDescent="0.25">
      <c r="A161" s="44"/>
      <c r="B161" s="59"/>
      <c r="C161" s="58"/>
      <c r="D161" s="51"/>
      <c r="E161" s="50"/>
      <c r="F161" s="22"/>
    </row>
    <row r="162" spans="1:6" ht="15.75" x14ac:dyDescent="0.25">
      <c r="A162" s="44"/>
      <c r="B162" s="59"/>
      <c r="C162" s="58"/>
      <c r="D162" s="51"/>
      <c r="E162" s="50"/>
      <c r="F162" s="22"/>
    </row>
    <row r="163" spans="1:6" ht="15.75" x14ac:dyDescent="0.25">
      <c r="A163" s="44"/>
      <c r="B163" s="59"/>
      <c r="C163" s="58"/>
      <c r="D163" s="51"/>
      <c r="E163" s="50"/>
      <c r="F163" s="22"/>
    </row>
    <row r="164" spans="1:6" ht="15.75" x14ac:dyDescent="0.25">
      <c r="A164" s="44"/>
      <c r="B164" s="59"/>
      <c r="C164" s="58"/>
      <c r="D164" s="51"/>
      <c r="E164" s="50"/>
      <c r="F164" s="22"/>
    </row>
    <row r="165" spans="1:6" ht="15.75" x14ac:dyDescent="0.25">
      <c r="A165" s="44"/>
      <c r="B165" s="59"/>
      <c r="C165" s="58"/>
      <c r="D165" s="51"/>
      <c r="E165" s="50"/>
      <c r="F165" s="22"/>
    </row>
    <row r="166" spans="1:6" ht="15.75" x14ac:dyDescent="0.25">
      <c r="A166" s="44"/>
      <c r="B166" s="59"/>
      <c r="C166" s="58"/>
      <c r="D166" s="51"/>
      <c r="E166" s="50"/>
      <c r="F166" s="22"/>
    </row>
    <row r="167" spans="1:6" ht="15.75" x14ac:dyDescent="0.25">
      <c r="A167" s="44"/>
      <c r="B167" s="59"/>
      <c r="C167" s="58"/>
      <c r="D167" s="51"/>
      <c r="E167" s="50"/>
      <c r="F167" s="22"/>
    </row>
    <row r="168" spans="1:6" ht="15.75" x14ac:dyDescent="0.25">
      <c r="A168" s="44"/>
      <c r="B168" s="59"/>
      <c r="C168" s="58"/>
      <c r="D168" s="51"/>
      <c r="E168" s="50"/>
      <c r="F168" s="22"/>
    </row>
    <row r="169" spans="1:6" ht="15.75" x14ac:dyDescent="0.25">
      <c r="A169" s="44"/>
      <c r="B169" s="59"/>
      <c r="C169" s="58"/>
      <c r="D169" s="51"/>
      <c r="E169" s="50"/>
      <c r="F169" s="22"/>
    </row>
    <row r="170" spans="1:6" ht="15.75" x14ac:dyDescent="0.25">
      <c r="A170" s="44"/>
      <c r="B170" s="59"/>
      <c r="C170" s="58"/>
      <c r="D170" s="51"/>
      <c r="E170" s="50"/>
      <c r="F170" s="22"/>
    </row>
    <row r="171" spans="1:6" ht="15.75" x14ac:dyDescent="0.25">
      <c r="A171" s="44"/>
      <c r="B171" s="49"/>
      <c r="C171" s="50"/>
      <c r="D171" s="51"/>
      <c r="E171" s="50"/>
      <c r="F171" s="22"/>
    </row>
    <row r="172" spans="1:6" ht="15.75" x14ac:dyDescent="0.25">
      <c r="A172" s="57"/>
      <c r="B172" s="49"/>
      <c r="C172" s="50"/>
      <c r="D172" s="51"/>
      <c r="E172" s="50"/>
      <c r="F172" s="2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Sheet2</vt:lpstr>
      <vt:lpstr>EXP1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admin1</cp:lastModifiedBy>
  <dcterms:created xsi:type="dcterms:W3CDTF">2002-07-12T16:49:39Z</dcterms:created>
  <dcterms:modified xsi:type="dcterms:W3CDTF">2019-03-06T21:27:12Z</dcterms:modified>
</cp:coreProperties>
</file>